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事件event_config" sheetId="1" r:id="rId1"/>
    <sheet name="子弹事件bullet_event_config" sheetId="2" r:id="rId2"/>
    <sheet name="持续buff_config" sheetId="3" r:id="rId3"/>
    <sheet name="被动passive_confi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<sst xmlns="http://schemas.openxmlformats.org/spreadsheetml/2006/main" count="894" uniqueCount="501">
  <si>
    <t>id</t>
  </si>
  <si>
    <t>type</t>
  </si>
  <si>
    <t>name</t>
  </si>
  <si>
    <t>des</t>
  </si>
  <si>
    <t>args</t>
  </si>
  <si>
    <t>int</t>
  </si>
  <si>
    <t>string</t>
  </si>
  <si>
    <t>int[]</t>
  </si>
  <si>
    <t>治愈</t>
  </si>
  <si>
    <t>恢复相当于攻击力30%生命</t>
  </si>
  <si>
    <t>-3000|0</t>
  </si>
  <si>
    <t>恢复相当于攻击力35%生命</t>
  </si>
  <si>
    <t>-3500|0</t>
  </si>
  <si>
    <t>恢复相当于攻击力40%生命</t>
  </si>
  <si>
    <t>-4000|0</t>
  </si>
  <si>
    <t>恢复相当于攻击力45%生命</t>
  </si>
  <si>
    <t>-4500|0</t>
  </si>
  <si>
    <t>恢复相当于攻击力50%生命</t>
  </si>
  <si>
    <t>-5000|0</t>
  </si>
  <si>
    <t>恢复相当于攻击力55%生命</t>
  </si>
  <si>
    <t>-5500|0</t>
  </si>
  <si>
    <t>恢复相当于攻击力65%生命</t>
  </si>
  <si>
    <t>-6500|0</t>
  </si>
  <si>
    <t>恢复相当于攻击力70%生命</t>
  </si>
  <si>
    <t>-7000|0</t>
  </si>
  <si>
    <t>恢复相当于攻击力75%生命</t>
  </si>
  <si>
    <t>-7500|0</t>
  </si>
  <si>
    <t>恢复相当于攻击力80%生命</t>
  </si>
  <si>
    <t>-8000|0</t>
  </si>
  <si>
    <t>自伤</t>
  </si>
  <si>
    <t>损失相当于攻击力25%生命</t>
  </si>
  <si>
    <t>2500|0</t>
  </si>
  <si>
    <t>恢复相当于攻击力20%生命</t>
  </si>
  <si>
    <t>-2000|0</t>
  </si>
  <si>
    <t>护盾 1000</t>
  </si>
  <si>
    <t>获得1000护盾</t>
  </si>
  <si>
    <t>1000</t>
  </si>
  <si>
    <t>护盾 1500</t>
  </si>
  <si>
    <t>获得1500护盾</t>
  </si>
  <si>
    <t>1500</t>
  </si>
  <si>
    <t>护盾 2000</t>
  </si>
  <si>
    <t>获得2000护盾</t>
  </si>
  <si>
    <t>2000</t>
  </si>
  <si>
    <t>护盾 2500</t>
  </si>
  <si>
    <t>获得2500护盾</t>
  </si>
  <si>
    <t>2500</t>
  </si>
  <si>
    <t>护盾 3000</t>
  </si>
  <si>
    <t>获得3000护盾</t>
  </si>
  <si>
    <t>3000</t>
  </si>
  <si>
    <t>护盾 3500</t>
  </si>
  <si>
    <t>获得3500护盾</t>
  </si>
  <si>
    <t>3500</t>
  </si>
  <si>
    <t>护盾 4000</t>
  </si>
  <si>
    <t>获得4000护盾</t>
  </si>
  <si>
    <t>4000</t>
  </si>
  <si>
    <t>护盾 4500</t>
  </si>
  <si>
    <t>获得4500护盾</t>
  </si>
  <si>
    <t>4500</t>
  </si>
  <si>
    <t>护盾 5000</t>
  </si>
  <si>
    <t>获得5000护盾</t>
  </si>
  <si>
    <t>5000</t>
  </si>
  <si>
    <t>护盾 5500</t>
  </si>
  <si>
    <t>获得5500护盾</t>
  </si>
  <si>
    <t>5500</t>
  </si>
  <si>
    <t>治愈 1000</t>
  </si>
  <si>
    <t>恢复最大生命值上限10%生命</t>
  </si>
  <si>
    <t>-1000|0</t>
  </si>
  <si>
    <t>治愈 1500</t>
  </si>
  <si>
    <t>恢复最大生命值上限15%生命</t>
  </si>
  <si>
    <t>-1500|0</t>
  </si>
  <si>
    <t>治愈 2000</t>
  </si>
  <si>
    <t>恢复最大生命值上限20%生命</t>
  </si>
  <si>
    <t>治愈 2500</t>
  </si>
  <si>
    <t>恢复最大生命值上限25%生命</t>
  </si>
  <si>
    <t>-2500|0</t>
  </si>
  <si>
    <t>治愈 3000</t>
  </si>
  <si>
    <t>恢复最大生命值上限30%生命</t>
  </si>
  <si>
    <t>治愈 3500</t>
  </si>
  <si>
    <t>恢复最大生命值上限35%生命</t>
  </si>
  <si>
    <t>治愈 4000</t>
  </si>
  <si>
    <t>恢复最大生命值上限40%生命</t>
  </si>
  <si>
    <t>治愈 4500</t>
  </si>
  <si>
    <t>恢复最大生命值上限45%生命</t>
  </si>
  <si>
    <t>治愈 5000</t>
  </si>
  <si>
    <t>恢复最大生命值上限50%生命</t>
  </si>
  <si>
    <t>治愈 5500</t>
  </si>
  <si>
    <t>恢复最大生命值上限55%生命</t>
  </si>
  <si>
    <t>损失最大生命值上限50%生命</t>
  </si>
  <si>
    <t>5000|0</t>
  </si>
  <si>
    <t>损失最大生命值上限25%生命</t>
  </si>
  <si>
    <t>损失最大生命值上限10%生命</t>
  </si>
  <si>
    <t>1000|0</t>
  </si>
  <si>
    <t>击退</t>
  </si>
  <si>
    <t>击退目标力度</t>
  </si>
  <si>
    <t>6000</t>
  </si>
  <si>
    <t>7000</t>
  </si>
  <si>
    <t>8000</t>
  </si>
  <si>
    <t>9000</t>
  </si>
  <si>
    <t>10000</t>
  </si>
  <si>
    <t>12000</t>
  </si>
  <si>
    <t>14000</t>
  </si>
  <si>
    <t>16000</t>
  </si>
  <si>
    <t>18000</t>
  </si>
  <si>
    <t>20000</t>
  </si>
  <si>
    <t>经验</t>
  </si>
  <si>
    <t>为2个技能获得20经验</t>
  </si>
  <si>
    <t>20|2</t>
  </si>
  <si>
    <t>为2个技能获得25经验</t>
  </si>
  <si>
    <t>25|2</t>
  </si>
  <si>
    <t>为2个技能获得30经验</t>
  </si>
  <si>
    <t>30|2</t>
  </si>
  <si>
    <t>为2个技能获得35经验</t>
  </si>
  <si>
    <t>35|2</t>
  </si>
  <si>
    <t>为3个技能获得40经验</t>
  </si>
  <si>
    <t>40|3</t>
  </si>
  <si>
    <t>为3个技能获得45经验</t>
  </si>
  <si>
    <t>45|3</t>
  </si>
  <si>
    <t>为3个技能获得50经验</t>
  </si>
  <si>
    <t>50|3</t>
  </si>
  <si>
    <t>为3个技能获得55经验</t>
  </si>
  <si>
    <t>55|3</t>
  </si>
  <si>
    <t>为3个技能获得60经验</t>
  </si>
  <si>
    <t>60|3</t>
  </si>
  <si>
    <t>为4个技能获得65经验</t>
  </si>
  <si>
    <t>65|4</t>
  </si>
  <si>
    <t>火能 1</t>
  </si>
  <si>
    <t>获得1点火能量</t>
  </si>
  <si>
    <t>1|1</t>
  </si>
  <si>
    <t>火能 2</t>
  </si>
  <si>
    <t>获得2点火能量</t>
  </si>
  <si>
    <t>2|1</t>
  </si>
  <si>
    <t>火能 3</t>
  </si>
  <si>
    <t>获得3点火能量</t>
  </si>
  <si>
    <t>3|1</t>
  </si>
  <si>
    <t>火能 4</t>
  </si>
  <si>
    <t>获得4点火能量</t>
  </si>
  <si>
    <t>4|1</t>
  </si>
  <si>
    <t>火能 5</t>
  </si>
  <si>
    <t>获得5点火能量</t>
  </si>
  <si>
    <t>5|1</t>
  </si>
  <si>
    <t>火能 6</t>
  </si>
  <si>
    <t>获得6点火能量</t>
  </si>
  <si>
    <t>6|1</t>
  </si>
  <si>
    <t>火能 7</t>
  </si>
  <si>
    <t>获得7点火能量</t>
  </si>
  <si>
    <t>7|1</t>
  </si>
  <si>
    <t>火能 8</t>
  </si>
  <si>
    <t>获得8点火能量</t>
  </si>
  <si>
    <t>8|1</t>
  </si>
  <si>
    <t>火能 9</t>
  </si>
  <si>
    <t>获得9点火能量</t>
  </si>
  <si>
    <t>9|1</t>
  </si>
  <si>
    <t>火能 10</t>
  </si>
  <si>
    <t>获得10点火能量</t>
  </si>
  <si>
    <t>10|1</t>
  </si>
  <si>
    <t>冰能 1</t>
  </si>
  <si>
    <t>获得1点冰能量</t>
  </si>
  <si>
    <t>1|2</t>
  </si>
  <si>
    <t>冰能 2</t>
  </si>
  <si>
    <t>获得2点冰能量</t>
  </si>
  <si>
    <t>2|2</t>
  </si>
  <si>
    <t>冰能 3</t>
  </si>
  <si>
    <t>获得3点冰能量</t>
  </si>
  <si>
    <t>3|2</t>
  </si>
  <si>
    <t>冰能 4</t>
  </si>
  <si>
    <t>获得4点冰能量</t>
  </si>
  <si>
    <t>4|2</t>
  </si>
  <si>
    <t>冰能 5</t>
  </si>
  <si>
    <t>获得5点冰能量</t>
  </si>
  <si>
    <t>5|2</t>
  </si>
  <si>
    <t>冰能 6</t>
  </si>
  <si>
    <t>获得6点冰能量</t>
  </si>
  <si>
    <t>6|2</t>
  </si>
  <si>
    <t>冰能 7</t>
  </si>
  <si>
    <t>获得7点冰能量</t>
  </si>
  <si>
    <t>7|2</t>
  </si>
  <si>
    <t>冰能 8</t>
  </si>
  <si>
    <t>获得8点冰能量</t>
  </si>
  <si>
    <t>8|2</t>
  </si>
  <si>
    <t>冰能 9</t>
  </si>
  <si>
    <t>获得9点冰能量</t>
  </si>
  <si>
    <t>9|2</t>
  </si>
  <si>
    <t>冰能 10</t>
  </si>
  <si>
    <t>获得10点冰能量</t>
  </si>
  <si>
    <t>10|2</t>
  </si>
  <si>
    <t>雷能 1</t>
  </si>
  <si>
    <t>获得1点雷能量</t>
  </si>
  <si>
    <t>1|3</t>
  </si>
  <si>
    <t>雷能 2</t>
  </si>
  <si>
    <t>获得2点雷能量</t>
  </si>
  <si>
    <t>2|3</t>
  </si>
  <si>
    <t>雷能 3</t>
  </si>
  <si>
    <t>获得3点雷能量</t>
  </si>
  <si>
    <t>3|3</t>
  </si>
  <si>
    <t>雷能 4</t>
  </si>
  <si>
    <t>获得4点雷能量</t>
  </si>
  <si>
    <t>4|3</t>
  </si>
  <si>
    <t>雷能 5</t>
  </si>
  <si>
    <t>获得5点雷能量</t>
  </si>
  <si>
    <t>5|3</t>
  </si>
  <si>
    <t>雷能 6</t>
  </si>
  <si>
    <t>获得6点雷能量</t>
  </si>
  <si>
    <t>6|3</t>
  </si>
  <si>
    <t>雷能 7</t>
  </si>
  <si>
    <t>获得7点雷能量</t>
  </si>
  <si>
    <t>7|3</t>
  </si>
  <si>
    <t>雷能 8</t>
  </si>
  <si>
    <t>获得8点雷能量</t>
  </si>
  <si>
    <t>8|3</t>
  </si>
  <si>
    <t>雷能 9</t>
  </si>
  <si>
    <t>获得9点雷能量</t>
  </si>
  <si>
    <t>9|3</t>
  </si>
  <si>
    <t>雷能 10</t>
  </si>
  <si>
    <t>获得10点雷能量</t>
  </si>
  <si>
    <t>10|3</t>
  </si>
  <si>
    <t>风能 1</t>
  </si>
  <si>
    <t>获得1点风能量</t>
  </si>
  <si>
    <t>1|4</t>
  </si>
  <si>
    <t>风能 2</t>
  </si>
  <si>
    <t>获得2点风能量</t>
  </si>
  <si>
    <t>2|4</t>
  </si>
  <si>
    <t>风能 3</t>
  </si>
  <si>
    <t>获得3点风能量</t>
  </si>
  <si>
    <t>3|4</t>
  </si>
  <si>
    <t>风能 4</t>
  </si>
  <si>
    <t>获得4点风能量</t>
  </si>
  <si>
    <t>4|4</t>
  </si>
  <si>
    <t>风能 5</t>
  </si>
  <si>
    <t>获得5点风能量</t>
  </si>
  <si>
    <t>5|4</t>
  </si>
  <si>
    <t>风能 6</t>
  </si>
  <si>
    <t>获得6点风能量</t>
  </si>
  <si>
    <t>6|4</t>
  </si>
  <si>
    <t>风能 7</t>
  </si>
  <si>
    <t>获得7点风能量</t>
  </si>
  <si>
    <t>7|4</t>
  </si>
  <si>
    <t>风能 8</t>
  </si>
  <si>
    <t>获得8点风能量</t>
  </si>
  <si>
    <t>8|4</t>
  </si>
  <si>
    <t>风能 9</t>
  </si>
  <si>
    <t>获得9点风能量</t>
  </si>
  <si>
    <t>9|4</t>
  </si>
  <si>
    <t>风能 10</t>
  </si>
  <si>
    <t>获得10点风能量</t>
  </si>
  <si>
    <t>10|4</t>
  </si>
  <si>
    <t>灼烧</t>
  </si>
  <si>
    <t>使目标灼烧</t>
  </si>
  <si>
    <t>冰冻</t>
  </si>
  <si>
    <t>冰冻目标1秒</t>
  </si>
  <si>
    <t>冰冻目标2秒</t>
  </si>
  <si>
    <t>冰冻目标3秒</t>
  </si>
  <si>
    <t>冰冻目标4秒</t>
  </si>
  <si>
    <t>冰冻目标5秒</t>
  </si>
  <si>
    <t>冰冻目标6秒</t>
  </si>
  <si>
    <t>冰冻目标7秒</t>
  </si>
  <si>
    <t>冰冻目标8秒</t>
  </si>
  <si>
    <t>冰冻目标9秒</t>
  </si>
  <si>
    <t>冰冻目标10秒</t>
  </si>
  <si>
    <t>冰冻目标11秒</t>
  </si>
  <si>
    <t>冰冻目标12秒</t>
  </si>
  <si>
    <t>冰冻目标13秒</t>
  </si>
  <si>
    <t>冰冻目标14秒</t>
  </si>
  <si>
    <t>冰冻目标15秒</t>
  </si>
  <si>
    <t>2014</t>
  </si>
  <si>
    <t>减速 3s 50%</t>
  </si>
  <si>
    <t>减速目标50%持续3秒</t>
  </si>
  <si>
    <t>减速 10s 30%</t>
  </si>
  <si>
    <t>减速目标30%持续10秒</t>
  </si>
  <si>
    <t>持续治疗</t>
  </si>
  <si>
    <t>每秒恢复相当于攻击力20%的生命值10秒</t>
  </si>
  <si>
    <t>伤害减免</t>
  </si>
  <si>
    <t>减少50%受到的伤害10秒</t>
  </si>
  <si>
    <t>易伤</t>
  </si>
  <si>
    <t>使目标受到的伤害增加50%持续5秒</t>
  </si>
  <si>
    <t>使目标受到的伤害增加30%持续10秒</t>
  </si>
  <si>
    <t>6001</t>
  </si>
  <si>
    <t>反击</t>
  </si>
  <si>
    <t>受击时发射3枚30%电伤反击弹</t>
  </si>
  <si>
    <t>1006101</t>
  </si>
  <si>
    <t>受击时发射10枚30%电伤反击弹</t>
  </si>
  <si>
    <t>1006102</t>
  </si>
  <si>
    <t>受击时发射10枚30%电伤反击弹(穿刺)</t>
  </si>
  <si>
    <t>1006103</t>
  </si>
  <si>
    <t>附加被动</t>
  </si>
  <si>
    <t>破盾爆发被动</t>
  </si>
  <si>
    <t>召唤 1001 5s</t>
  </si>
  <si>
    <t>召唤25%守卫5秒</t>
  </si>
  <si>
    <t>1001|5|2500|0</t>
  </si>
  <si>
    <t>召唤 1001 7s</t>
  </si>
  <si>
    <t>召唤25%守卫6秒</t>
  </si>
  <si>
    <t>1001|6|2500|0</t>
  </si>
  <si>
    <t>召唤 1001 9s</t>
  </si>
  <si>
    <t>召唤50%守卫7秒</t>
  </si>
  <si>
    <t>1002|7|5000|0</t>
  </si>
  <si>
    <t>召唤 1001 11s</t>
  </si>
  <si>
    <t>召唤50%守卫8秒</t>
  </si>
  <si>
    <t>1002|8|5000|0</t>
  </si>
  <si>
    <t>召唤 1001 13s</t>
  </si>
  <si>
    <t>召唤50%守卫9秒</t>
  </si>
  <si>
    <t>1002|9|5000|0</t>
  </si>
  <si>
    <t>召唤 1002 15s</t>
  </si>
  <si>
    <t>召唤50%守卫10秒</t>
  </si>
  <si>
    <t>1002|10|5000|0</t>
  </si>
  <si>
    <t>召唤 1002 17s</t>
  </si>
  <si>
    <t>召唤50%守卫11秒</t>
  </si>
  <si>
    <t>1002|11|5000|0</t>
  </si>
  <si>
    <t>召唤 1002 19s</t>
  </si>
  <si>
    <t>召唤50%守卫12秒</t>
  </si>
  <si>
    <t>1003|12|5000|0</t>
  </si>
  <si>
    <t>召唤 1002 21s</t>
  </si>
  <si>
    <t>召唤50%守卫13秒</t>
  </si>
  <si>
    <t>1003|13|5000|0</t>
  </si>
  <si>
    <t>召唤 1002 23s×3</t>
  </si>
  <si>
    <t>召唤3个50%守卫14秒</t>
  </si>
  <si>
    <t>1003|14|5000|2</t>
  </si>
  <si>
    <t>驱散</t>
  </si>
  <si>
    <t>随机驱散buff个数，[buffId=-1代表全部增益，buffId=-2代表全部减益]</t>
  </si>
  <si>
    <t>1|-2</t>
  </si>
  <si>
    <t>已损失生命值</t>
  </si>
  <si>
    <t>恢复已损失生命值50%生命</t>
  </si>
  <si>
    <t>穿透</t>
  </si>
  <si>
    <t>穿透所有敌人</t>
  </si>
  <si>
    <t>穿透 2</t>
  </si>
  <si>
    <t>穿透2个敌人</t>
  </si>
  <si>
    <t>2</t>
  </si>
  <si>
    <t>穿透 3</t>
  </si>
  <si>
    <t>穿透3个敌人</t>
  </si>
  <si>
    <t>3</t>
  </si>
  <si>
    <t>爆炸</t>
  </si>
  <si>
    <t>爆炸半径，伤害50%</t>
  </si>
  <si>
    <t>5000|3</t>
  </si>
  <si>
    <t>爆炸半径，伤害10%</t>
  </si>
  <si>
    <t>1000|5</t>
  </si>
  <si>
    <t>追踪</t>
  </si>
  <si>
    <t>子弹追踪目标</t>
  </si>
  <si>
    <t/>
  </si>
  <si>
    <t>散射 2</t>
  </si>
  <si>
    <t>额外反射子弹，子弹会有角度偏转</t>
  </si>
  <si>
    <t>2|5</t>
  </si>
  <si>
    <t>散射 3</t>
  </si>
  <si>
    <t>3|5</t>
  </si>
  <si>
    <t>散射 4</t>
  </si>
  <si>
    <t>4|5</t>
  </si>
  <si>
    <t>散射 5</t>
  </si>
  <si>
    <t>5|5</t>
  </si>
  <si>
    <t>散射 6</t>
  </si>
  <si>
    <t>6|5</t>
  </si>
  <si>
    <t>散射 7</t>
  </si>
  <si>
    <t>7|5</t>
  </si>
  <si>
    <t>散射 8</t>
  </si>
  <si>
    <t>8|5</t>
  </si>
  <si>
    <t>散射 9</t>
  </si>
  <si>
    <t>9|5</t>
  </si>
  <si>
    <t>散射 10</t>
  </si>
  <si>
    <t>10|5</t>
  </si>
  <si>
    <t>弹射 5</t>
  </si>
  <si>
    <t>弹射5次</t>
  </si>
  <si>
    <t>5|8000</t>
  </si>
  <si>
    <t>弹射15次</t>
  </si>
  <si>
    <t>15|8000</t>
  </si>
  <si>
    <t>弹射 10</t>
  </si>
  <si>
    <t>弹射15次，伤害不衰减</t>
  </si>
  <si>
    <t>15|10000</t>
  </si>
  <si>
    <t>连射 1</t>
  </si>
  <si>
    <t>连续发射1次</t>
  </si>
  <si>
    <t>连射 2</t>
  </si>
  <si>
    <t>连续发射2次</t>
  </si>
  <si>
    <t>连射 3</t>
  </si>
  <si>
    <t>连续发射3次</t>
  </si>
  <si>
    <t>连射 4</t>
  </si>
  <si>
    <t>连续发射4次</t>
  </si>
  <si>
    <t>连射 5</t>
  </si>
  <si>
    <t>连续发射5次</t>
  </si>
  <si>
    <t>连射 6</t>
  </si>
  <si>
    <t>连续发射6次</t>
  </si>
  <si>
    <t>连射 7</t>
  </si>
  <si>
    <t>连续发射7次</t>
  </si>
  <si>
    <t>连射 8</t>
  </si>
  <si>
    <t>连续发射8次</t>
  </si>
  <si>
    <t>连射 9</t>
  </si>
  <si>
    <t>连续发射9次</t>
  </si>
  <si>
    <t>连射 10</t>
  </si>
  <si>
    <t>连续发射10次</t>
  </si>
  <si>
    <t>齐射 2</t>
  </si>
  <si>
    <t>同时攻击2个目标</t>
  </si>
  <si>
    <t>齐射 3</t>
  </si>
  <si>
    <t>同时攻击3个目标</t>
  </si>
  <si>
    <t>齐射 4</t>
  </si>
  <si>
    <t>同时攻击4个目标</t>
  </si>
  <si>
    <t>4</t>
  </si>
  <si>
    <t>齐射 5</t>
  </si>
  <si>
    <t>同时攻击5个目标</t>
  </si>
  <si>
    <t>5</t>
  </si>
  <si>
    <t>齐射 6</t>
  </si>
  <si>
    <t>同时攻击6个目标</t>
  </si>
  <si>
    <t>6</t>
  </si>
  <si>
    <t>齐射 7</t>
  </si>
  <si>
    <t>同时攻击7个目标</t>
  </si>
  <si>
    <t>7</t>
  </si>
  <si>
    <t>齐射 8</t>
  </si>
  <si>
    <t>同时攻击8个目标</t>
  </si>
  <si>
    <t>8</t>
  </si>
  <si>
    <t>齐射 9</t>
  </si>
  <si>
    <t>同时攻击9个目标</t>
  </si>
  <si>
    <t>9</t>
  </si>
  <si>
    <t>齐射 10</t>
  </si>
  <si>
    <t>同时攻击10个目标</t>
  </si>
  <si>
    <t>10</t>
  </si>
  <si>
    <t>附加事件</t>
  </si>
  <si>
    <t>附加事件Id</t>
  </si>
  <si>
    <t>附加被动Id</t>
  </si>
  <si>
    <t>icon</t>
  </si>
  <si>
    <t>desc</t>
  </si>
  <si>
    <t>overlap</t>
  </si>
  <si>
    <t>probability</t>
  </si>
  <si>
    <t>lastTime</t>
  </si>
  <si>
    <t>jumpTime</t>
  </si>
  <si>
    <t>eventEffect</t>
  </si>
  <si>
    <t>position</t>
  </si>
  <si>
    <t>dispel</t>
  </si>
  <si>
    <t>attribute</t>
  </si>
  <si>
    <t>evtDmgRate</t>
  </si>
  <si>
    <t>evtDamage</t>
  </si>
  <si>
    <t>evtWhenEnd</t>
  </si>
  <si>
    <t>specialEvent</t>
  </si>
  <si>
    <t>AttrEntry[]</t>
  </si>
  <si>
    <t>{int type;int rate}[]</t>
  </si>
  <si>
    <t>{int type;int[] args}[]</t>
  </si>
  <si>
    <t>持续受到火焰伤害</t>
  </si>
  <si>
    <t>1~3000</t>
  </si>
  <si>
    <t>无法移动1秒</t>
  </si>
  <si>
    <t>103~</t>
  </si>
  <si>
    <t>无法移动2秒</t>
  </si>
  <si>
    <t>无法移动3秒</t>
  </si>
  <si>
    <t>无法移动4秒</t>
  </si>
  <si>
    <t>无法移动5秒</t>
  </si>
  <si>
    <t>无法移动6秒</t>
  </si>
  <si>
    <t>无法移动7秒</t>
  </si>
  <si>
    <t>无法移动8秒</t>
  </si>
  <si>
    <t>无法移动9秒</t>
  </si>
  <si>
    <t>无法移动10秒</t>
  </si>
  <si>
    <t>无法移动11秒</t>
  </si>
  <si>
    <t>无法移动12秒</t>
  </si>
  <si>
    <t>无法移动13秒</t>
  </si>
  <si>
    <t>无法移动14秒</t>
  </si>
  <si>
    <t>无法移动15秒</t>
  </si>
  <si>
    <t>减速</t>
  </si>
  <si>
    <t>移动速度降低50%持续3秒</t>
  </si>
  <si>
    <t>131~-5000</t>
  </si>
  <si>
    <t>移动速度降低30%持续10秒</t>
  </si>
  <si>
    <t>131~-3000</t>
  </si>
  <si>
    <t>每秒恢复10%攻击力的生命持续10秒</t>
  </si>
  <si>
    <t>受到的伤害降低50%持续10秒</t>
  </si>
  <si>
    <t>109~5000</t>
  </si>
  <si>
    <t>受到的伤害增加50%持续5秒</t>
  </si>
  <si>
    <t>109~-5000</t>
  </si>
  <si>
    <t>受到的伤害增加30%持续10秒</t>
  </si>
  <si>
    <t>109~-3000</t>
  </si>
  <si>
    <t>反击 Lv1</t>
  </si>
  <si>
    <t>受击时发射1枚反击弹</t>
  </si>
  <si>
    <t>102~1006101</t>
  </si>
  <si>
    <t>反击 Lv2</t>
  </si>
  <si>
    <t>受击时发射2枚反击弹</t>
  </si>
  <si>
    <t>102~1006102</t>
  </si>
  <si>
    <t>反击 Lv3</t>
  </si>
  <si>
    <t>受击时发射3枚反击弹</t>
  </si>
  <si>
    <t>102~1006103</t>
  </si>
  <si>
    <t>反击 Lv4</t>
  </si>
  <si>
    <t>受击时发射4枚反击弹</t>
  </si>
  <si>
    <t>102~1006104</t>
  </si>
  <si>
    <t>反击 Lv5</t>
  </si>
  <si>
    <t>受击时发射5枚反击弹</t>
  </si>
  <si>
    <t>102~1006105</t>
  </si>
  <si>
    <t>反击 Lv6</t>
  </si>
  <si>
    <t>受击时发射6枚反击弹</t>
  </si>
  <si>
    <t>102~1006106</t>
  </si>
  <si>
    <t>反击 Lv7</t>
  </si>
  <si>
    <t>受击时发射7枚反击弹</t>
  </si>
  <si>
    <t>102~1006107</t>
  </si>
  <si>
    <t>反击 Lv8</t>
  </si>
  <si>
    <t>受击时发射8枚反击弹</t>
  </si>
  <si>
    <t>102~1006108</t>
  </si>
  <si>
    <t>反击 Lv9</t>
  </si>
  <si>
    <t>受击时发射9枚反击弹</t>
  </si>
  <si>
    <t>102~1006109</t>
  </si>
  <si>
    <t>反击 Lv10</t>
  </si>
  <si>
    <t>受击时发射10枚反击弹</t>
  </si>
  <si>
    <t>102~1006110</t>
  </si>
  <si>
    <t>蓄力</t>
  </si>
  <si>
    <t>蓄力期间获得属性加成</t>
  </si>
  <si>
    <t>128~5000</t>
  </si>
  <si>
    <t>eventTarget</t>
  </si>
  <si>
    <t>eventRemove</t>
  </si>
  <si>
    <t>eventCond</t>
  </si>
  <si>
    <t>odds</t>
  </si>
  <si>
    <t>events</t>
  </si>
  <si>
    <t>skills</t>
  </si>
  <si>
    <t>passives</t>
  </si>
  <si>
    <t>{int id;int[] args}[]</t>
  </si>
  <si>
    <t>护盾破损</t>
  </si>
  <si>
    <t>对所有敌人造成击退，并且恢复自身已损失生命值的50%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</si>
</sst>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 applyAlignment="1"/>
    <xf numFmtId="49" fontId="0" fillId="0" borderId="0" xfId="0" applyNumberFormat="1"/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tabSelected="1" topLeftCell="A19" workbookViewId="0">
      <selection activeCell="F44" sqref="F44"/>
    </sheetView>
  </sheetViews>
  <sheetFormatPr defaultColWidth="9" defaultRowHeight="13.5" outlineLevelCol="5"/>
  <cols>
    <col min="3" max="3" width="9.125" customWidth="1"/>
    <col min="4" max="4" width="17.75" customWidth="1"/>
    <col min="5" max="5" width="44.25" customWidth="1"/>
    <col min="6" max="6" width="9" style="3"/>
  </cols>
  <sheetData>
    <row r="1" spans="1:6">
      <c r="A1" t="s">
        <v>0</v>
      </c>
      <c r="B1" t="s">
        <v>1</v>
      </c>
      <c r="D1" t="s">
        <v>2</v>
      </c>
      <c r="E1" t="s">
        <v>3</v>
      </c>
      <c r="F1" s="3" t="s">
        <v>4</v>
      </c>
    </row>
    <row r="2" spans="1:6">
      <c r="A2" t="s">
        <v>5</v>
      </c>
      <c r="B2" t="s">
        <v>5</v>
      </c>
      <c r="D2" t="s">
        <v>6</v>
      </c>
      <c r="E2" t="s">
        <v>6</v>
      </c>
      <c r="F2" s="3" t="s">
        <v>7</v>
      </c>
    </row>
    <row r="3" spans="1:6">
      <c r="A3" s="2">
        <f t="shared" ref="A3:A19" si="0">10000*B3+C3</f>
        <v>10001</v>
      </c>
      <c r="B3">
        <v>1</v>
      </c>
      <c r="C3">
        <v>1</v>
      </c>
      <c r="D3" t="s">
        <v>8</v>
      </c>
      <c r="E3" t="s">
        <v>9</v>
      </c>
      <c r="F3" s="3" t="s">
        <v>10</v>
      </c>
    </row>
    <row r="4" spans="1:6">
      <c r="A4" s="2">
        <f t="shared" si="0"/>
        <v>10002</v>
      </c>
      <c r="B4">
        <v>1</v>
      </c>
      <c r="C4">
        <f t="shared" ref="C3:C14" si="1">C3+1</f>
        <v>2</v>
      </c>
      <c r="D4" t="s">
        <v>8</v>
      </c>
      <c r="E4" t="s">
        <v>11</v>
      </c>
      <c r="F4" s="3" t="s">
        <v>12</v>
      </c>
    </row>
    <row r="5" spans="1:6">
      <c r="A5" s="2">
        <f t="shared" si="0"/>
        <v>10003</v>
      </c>
      <c r="B5">
        <v>1</v>
      </c>
      <c r="C5">
        <f t="shared" si="1"/>
        <v>3</v>
      </c>
      <c r="D5" t="s">
        <v>8</v>
      </c>
      <c r="E5" t="s">
        <v>13</v>
      </c>
      <c r="F5" s="3" t="s">
        <v>14</v>
      </c>
    </row>
    <row r="6" spans="1:6">
      <c r="A6" s="2">
        <f t="shared" si="0"/>
        <v>10004</v>
      </c>
      <c r="B6">
        <v>1</v>
      </c>
      <c r="C6">
        <f t="shared" si="1"/>
        <v>4</v>
      </c>
      <c r="D6" t="s">
        <v>8</v>
      </c>
      <c r="E6" t="s">
        <v>15</v>
      </c>
      <c r="F6" s="3" t="s">
        <v>16</v>
      </c>
    </row>
    <row r="7" spans="1:6">
      <c r="A7" s="2">
        <f t="shared" si="0"/>
        <v>10005</v>
      </c>
      <c r="B7">
        <v>1</v>
      </c>
      <c r="C7">
        <f t="shared" si="1"/>
        <v>5</v>
      </c>
      <c r="D7" t="s">
        <v>8</v>
      </c>
      <c r="E7" t="s">
        <v>17</v>
      </c>
      <c r="F7" s="3" t="s">
        <v>18</v>
      </c>
    </row>
    <row r="8" spans="1:6">
      <c r="A8" s="2">
        <f t="shared" si="0"/>
        <v>10006</v>
      </c>
      <c r="B8">
        <v>1</v>
      </c>
      <c r="C8">
        <f t="shared" si="1"/>
        <v>6</v>
      </c>
      <c r="D8" t="s">
        <v>8</v>
      </c>
      <c r="E8" t="s">
        <v>19</v>
      </c>
      <c r="F8" s="3" t="s">
        <v>20</v>
      </c>
    </row>
    <row r="9" spans="1:6">
      <c r="A9" s="2">
        <f t="shared" si="0"/>
        <v>10007</v>
      </c>
      <c r="B9">
        <v>1</v>
      </c>
      <c r="C9">
        <f t="shared" si="1"/>
        <v>7</v>
      </c>
      <c r="D9" t="s">
        <v>8</v>
      </c>
      <c r="E9" t="s">
        <v>21</v>
      </c>
      <c r="F9" s="3" t="s">
        <v>22</v>
      </c>
    </row>
    <row r="10" spans="1:6">
      <c r="A10" s="2">
        <f t="shared" si="0"/>
        <v>10008</v>
      </c>
      <c r="B10">
        <v>1</v>
      </c>
      <c r="C10">
        <f t="shared" si="1"/>
        <v>8</v>
      </c>
      <c r="D10" t="s">
        <v>8</v>
      </c>
      <c r="E10" t="s">
        <v>23</v>
      </c>
      <c r="F10" s="3" t="s">
        <v>24</v>
      </c>
    </row>
    <row r="11" spans="1:6">
      <c r="A11" s="2">
        <f t="shared" si="0"/>
        <v>10009</v>
      </c>
      <c r="B11">
        <v>1</v>
      </c>
      <c r="C11">
        <f t="shared" si="1"/>
        <v>9</v>
      </c>
      <c r="D11" t="s">
        <v>8</v>
      </c>
      <c r="E11" t="s">
        <v>25</v>
      </c>
      <c r="F11" s="3" t="s">
        <v>26</v>
      </c>
    </row>
    <row r="12" spans="1:6">
      <c r="A12" s="2">
        <f t="shared" si="0"/>
        <v>10010</v>
      </c>
      <c r="B12">
        <v>1</v>
      </c>
      <c r="C12">
        <f t="shared" si="1"/>
        <v>10</v>
      </c>
      <c r="D12" t="s">
        <v>8</v>
      </c>
      <c r="E12" t="s">
        <v>27</v>
      </c>
      <c r="F12" s="3" t="s">
        <v>28</v>
      </c>
    </row>
    <row r="13" spans="1:6">
      <c r="A13" s="2">
        <f t="shared" si="0"/>
        <v>10011</v>
      </c>
      <c r="B13">
        <v>1</v>
      </c>
      <c r="C13">
        <f t="shared" si="1"/>
        <v>11</v>
      </c>
      <c r="D13" t="s">
        <v>29</v>
      </c>
      <c r="E13" t="s">
        <v>30</v>
      </c>
      <c r="F13" s="3" t="s">
        <v>31</v>
      </c>
    </row>
    <row r="14" spans="1:6">
      <c r="A14" s="2">
        <f t="shared" si="0"/>
        <v>10012</v>
      </c>
      <c r="B14">
        <v>1</v>
      </c>
      <c r="C14">
        <f t="shared" si="1"/>
        <v>12</v>
      </c>
      <c r="D14" t="s">
        <v>8</v>
      </c>
      <c r="E14" t="s">
        <v>32</v>
      </c>
      <c r="F14" s="3" t="s">
        <v>33</v>
      </c>
    </row>
    <row r="15" spans="1:6">
      <c r="A15" s="2">
        <f t="shared" si="0"/>
        <v>20001</v>
      </c>
      <c r="B15">
        <v>2</v>
      </c>
      <c r="C15" s="2">
        <v>1</v>
      </c>
      <c r="D15" t="s">
        <v>34</v>
      </c>
      <c r="E15" t="s">
        <v>35</v>
      </c>
      <c r="F15" s="3" t="s">
        <v>36</v>
      </c>
    </row>
    <row r="16" spans="1:6">
      <c r="A16" s="2">
        <f t="shared" si="0"/>
        <v>20002</v>
      </c>
      <c r="B16">
        <v>2</v>
      </c>
      <c r="C16" s="2">
        <f t="shared" ref="C16:C24" si="2">C15+1</f>
        <v>2</v>
      </c>
      <c r="D16" t="s">
        <v>37</v>
      </c>
      <c r="E16" t="s">
        <v>38</v>
      </c>
      <c r="F16" s="3" t="s">
        <v>39</v>
      </c>
    </row>
    <row r="17" spans="1:6">
      <c r="A17" s="2">
        <f t="shared" si="0"/>
        <v>20003</v>
      </c>
      <c r="B17">
        <v>2</v>
      </c>
      <c r="C17" s="2">
        <f t="shared" si="2"/>
        <v>3</v>
      </c>
      <c r="D17" t="s">
        <v>40</v>
      </c>
      <c r="E17" t="s">
        <v>41</v>
      </c>
      <c r="F17" s="3" t="s">
        <v>42</v>
      </c>
    </row>
    <row r="18" spans="1:6">
      <c r="A18" s="2">
        <f t="shared" si="0"/>
        <v>20004</v>
      </c>
      <c r="B18">
        <v>2</v>
      </c>
      <c r="C18" s="2">
        <f t="shared" si="2"/>
        <v>4</v>
      </c>
      <c r="D18" t="s">
        <v>43</v>
      </c>
      <c r="E18" t="s">
        <v>44</v>
      </c>
      <c r="F18" s="3" t="s">
        <v>45</v>
      </c>
    </row>
    <row r="19" spans="1:6">
      <c r="A19" s="2">
        <f t="shared" si="0"/>
        <v>20005</v>
      </c>
      <c r="B19">
        <v>2</v>
      </c>
      <c r="C19" s="2">
        <f t="shared" si="2"/>
        <v>5</v>
      </c>
      <c r="D19" t="s">
        <v>46</v>
      </c>
      <c r="E19" t="s">
        <v>47</v>
      </c>
      <c r="F19" s="3" t="s">
        <v>48</v>
      </c>
    </row>
    <row r="20" spans="1:6">
      <c r="A20" s="2">
        <f t="shared" ref="A20:A37" si="3">10000*B20+C20</f>
        <v>20006</v>
      </c>
      <c r="B20">
        <v>2</v>
      </c>
      <c r="C20" s="2">
        <f t="shared" si="2"/>
        <v>6</v>
      </c>
      <c r="D20" t="s">
        <v>49</v>
      </c>
      <c r="E20" t="s">
        <v>50</v>
      </c>
      <c r="F20" s="3" t="s">
        <v>51</v>
      </c>
    </row>
    <row r="21" spans="1:6">
      <c r="A21" s="2">
        <f t="shared" si="3"/>
        <v>20007</v>
      </c>
      <c r="B21">
        <v>2</v>
      </c>
      <c r="C21" s="2">
        <f t="shared" si="2"/>
        <v>7</v>
      </c>
      <c r="D21" t="s">
        <v>52</v>
      </c>
      <c r="E21" t="s">
        <v>53</v>
      </c>
      <c r="F21" s="3" t="s">
        <v>54</v>
      </c>
    </row>
    <row r="22" spans="1:6">
      <c r="A22" s="2">
        <f t="shared" si="3"/>
        <v>20008</v>
      </c>
      <c r="B22">
        <v>2</v>
      </c>
      <c r="C22" s="2">
        <f t="shared" si="2"/>
        <v>8</v>
      </c>
      <c r="D22" t="s">
        <v>55</v>
      </c>
      <c r="E22" t="s">
        <v>56</v>
      </c>
      <c r="F22" s="3" t="s">
        <v>57</v>
      </c>
    </row>
    <row r="23" spans="1:6">
      <c r="A23" s="2">
        <f t="shared" si="3"/>
        <v>20009</v>
      </c>
      <c r="B23">
        <v>2</v>
      </c>
      <c r="C23" s="2">
        <f t="shared" si="2"/>
        <v>9</v>
      </c>
      <c r="D23" t="s">
        <v>58</v>
      </c>
      <c r="E23" t="s">
        <v>59</v>
      </c>
      <c r="F23" s="3" t="s">
        <v>60</v>
      </c>
    </row>
    <row r="24" spans="1:6">
      <c r="A24" s="2">
        <f t="shared" si="3"/>
        <v>20010</v>
      </c>
      <c r="B24">
        <v>2</v>
      </c>
      <c r="C24" s="2">
        <f t="shared" si="2"/>
        <v>10</v>
      </c>
      <c r="D24" t="s">
        <v>61</v>
      </c>
      <c r="E24" t="s">
        <v>62</v>
      </c>
      <c r="F24" s="3" t="s">
        <v>63</v>
      </c>
    </row>
    <row r="25" spans="1:6">
      <c r="A25" s="2">
        <f t="shared" si="3"/>
        <v>30001</v>
      </c>
      <c r="B25">
        <v>3</v>
      </c>
      <c r="C25">
        <v>1</v>
      </c>
      <c r="D25" t="s">
        <v>64</v>
      </c>
      <c r="E25" t="s">
        <v>65</v>
      </c>
      <c r="F25" s="3" t="s">
        <v>66</v>
      </c>
    </row>
    <row r="26" spans="1:6">
      <c r="A26" s="2">
        <f t="shared" si="3"/>
        <v>30002</v>
      </c>
      <c r="B26">
        <v>3</v>
      </c>
      <c r="C26">
        <f t="shared" ref="C26:C37" si="4">C25+1</f>
        <v>2</v>
      </c>
      <c r="D26" t="s">
        <v>67</v>
      </c>
      <c r="E26" t="s">
        <v>68</v>
      </c>
      <c r="F26" s="3" t="s">
        <v>69</v>
      </c>
    </row>
    <row r="27" spans="1:6">
      <c r="A27" s="2">
        <f t="shared" si="3"/>
        <v>30003</v>
      </c>
      <c r="B27">
        <v>3</v>
      </c>
      <c r="C27">
        <f t="shared" si="4"/>
        <v>3</v>
      </c>
      <c r="D27" t="s">
        <v>70</v>
      </c>
      <c r="E27" t="s">
        <v>71</v>
      </c>
      <c r="F27" s="3" t="s">
        <v>33</v>
      </c>
    </row>
    <row r="28" spans="1:6">
      <c r="A28" s="2">
        <f t="shared" si="3"/>
        <v>30004</v>
      </c>
      <c r="B28">
        <v>3</v>
      </c>
      <c r="C28">
        <f t="shared" si="4"/>
        <v>4</v>
      </c>
      <c r="D28" t="s">
        <v>72</v>
      </c>
      <c r="E28" t="s">
        <v>73</v>
      </c>
      <c r="F28" s="3" t="s">
        <v>74</v>
      </c>
    </row>
    <row r="29" spans="1:6">
      <c r="A29" s="2">
        <f t="shared" si="3"/>
        <v>30005</v>
      </c>
      <c r="B29">
        <v>3</v>
      </c>
      <c r="C29">
        <f t="shared" si="4"/>
        <v>5</v>
      </c>
      <c r="D29" t="s">
        <v>75</v>
      </c>
      <c r="E29" t="s">
        <v>76</v>
      </c>
      <c r="F29" s="3" t="s">
        <v>10</v>
      </c>
    </row>
    <row r="30" spans="1:6">
      <c r="A30" s="2">
        <f t="shared" si="3"/>
        <v>30006</v>
      </c>
      <c r="B30">
        <v>3</v>
      </c>
      <c r="C30">
        <f t="shared" si="4"/>
        <v>6</v>
      </c>
      <c r="D30" t="s">
        <v>77</v>
      </c>
      <c r="E30" t="s">
        <v>78</v>
      </c>
      <c r="F30" s="3" t="s">
        <v>12</v>
      </c>
    </row>
    <row r="31" spans="1:6">
      <c r="A31" s="2">
        <f t="shared" si="3"/>
        <v>30007</v>
      </c>
      <c r="B31">
        <v>3</v>
      </c>
      <c r="C31">
        <f t="shared" si="4"/>
        <v>7</v>
      </c>
      <c r="D31" t="s">
        <v>79</v>
      </c>
      <c r="E31" t="s">
        <v>80</v>
      </c>
      <c r="F31" s="3" t="s">
        <v>14</v>
      </c>
    </row>
    <row r="32" spans="1:6">
      <c r="A32" s="2">
        <f t="shared" si="3"/>
        <v>30008</v>
      </c>
      <c r="B32">
        <v>3</v>
      </c>
      <c r="C32">
        <f t="shared" si="4"/>
        <v>8</v>
      </c>
      <c r="D32" t="s">
        <v>81</v>
      </c>
      <c r="E32" t="s">
        <v>82</v>
      </c>
      <c r="F32" s="3" t="s">
        <v>16</v>
      </c>
    </row>
    <row r="33" spans="1:6">
      <c r="A33" s="2">
        <f t="shared" si="3"/>
        <v>30009</v>
      </c>
      <c r="B33">
        <v>3</v>
      </c>
      <c r="C33">
        <f t="shared" si="4"/>
        <v>9</v>
      </c>
      <c r="D33" t="s">
        <v>83</v>
      </c>
      <c r="E33" t="s">
        <v>84</v>
      </c>
      <c r="F33" s="3" t="s">
        <v>18</v>
      </c>
    </row>
    <row r="34" spans="1:6">
      <c r="A34" s="2">
        <f t="shared" si="3"/>
        <v>30010</v>
      </c>
      <c r="B34">
        <v>3</v>
      </c>
      <c r="C34">
        <f t="shared" si="4"/>
        <v>10</v>
      </c>
      <c r="D34" t="s">
        <v>85</v>
      </c>
      <c r="E34" t="s">
        <v>86</v>
      </c>
      <c r="F34" s="3" t="s">
        <v>20</v>
      </c>
    </row>
    <row r="35" spans="1:6">
      <c r="A35" s="2">
        <f t="shared" si="3"/>
        <v>30011</v>
      </c>
      <c r="B35">
        <v>3</v>
      </c>
      <c r="C35">
        <f t="shared" si="4"/>
        <v>11</v>
      </c>
      <c r="D35" t="s">
        <v>29</v>
      </c>
      <c r="E35" t="s">
        <v>87</v>
      </c>
      <c r="F35" s="3" t="s">
        <v>88</v>
      </c>
    </row>
    <row r="36" spans="1:6">
      <c r="A36" s="2">
        <f t="shared" si="3"/>
        <v>30012</v>
      </c>
      <c r="B36">
        <v>3</v>
      </c>
      <c r="C36">
        <f t="shared" si="4"/>
        <v>12</v>
      </c>
      <c r="D36" t="s">
        <v>29</v>
      </c>
      <c r="E36" t="s">
        <v>89</v>
      </c>
      <c r="F36" s="3" t="s">
        <v>31</v>
      </c>
    </row>
    <row r="37" spans="1:6">
      <c r="A37" s="2">
        <f t="shared" si="3"/>
        <v>30013</v>
      </c>
      <c r="B37">
        <v>3</v>
      </c>
      <c r="C37">
        <f t="shared" si="4"/>
        <v>13</v>
      </c>
      <c r="D37" t="s">
        <v>29</v>
      </c>
      <c r="E37" t="s">
        <v>90</v>
      </c>
      <c r="F37" s="3" t="s">
        <v>91</v>
      </c>
    </row>
    <row r="38" spans="1:6">
      <c r="A38" s="2">
        <f t="shared" ref="A38:A80" si="5">10000*B38+C38</f>
        <v>40001</v>
      </c>
      <c r="B38">
        <v>4</v>
      </c>
      <c r="C38" s="2">
        <v>1</v>
      </c>
      <c r="D38" t="s">
        <v>92</v>
      </c>
      <c r="E38" t="s">
        <v>93</v>
      </c>
      <c r="F38" s="3" t="s">
        <v>60</v>
      </c>
    </row>
    <row r="39" spans="1:6">
      <c r="A39" s="2">
        <f t="shared" si="5"/>
        <v>40002</v>
      </c>
      <c r="B39">
        <v>4</v>
      </c>
      <c r="C39" s="2">
        <f t="shared" ref="C39:C48" si="6">C38+1</f>
        <v>2</v>
      </c>
      <c r="D39" t="s">
        <v>92</v>
      </c>
      <c r="E39" t="s">
        <v>93</v>
      </c>
      <c r="F39" s="3" t="s">
        <v>94</v>
      </c>
    </row>
    <row r="40" spans="1:6">
      <c r="A40" s="2">
        <f t="shared" si="5"/>
        <v>40003</v>
      </c>
      <c r="B40">
        <v>4</v>
      </c>
      <c r="C40" s="2">
        <f t="shared" si="6"/>
        <v>3</v>
      </c>
      <c r="D40" t="s">
        <v>92</v>
      </c>
      <c r="E40" t="s">
        <v>93</v>
      </c>
      <c r="F40" s="3" t="s">
        <v>95</v>
      </c>
    </row>
    <row r="41" spans="1:6">
      <c r="A41" s="2">
        <f t="shared" si="5"/>
        <v>40004</v>
      </c>
      <c r="B41">
        <v>4</v>
      </c>
      <c r="C41" s="2">
        <f t="shared" si="6"/>
        <v>4</v>
      </c>
      <c r="D41" t="s">
        <v>92</v>
      </c>
      <c r="E41" t="s">
        <v>93</v>
      </c>
      <c r="F41" s="3" t="s">
        <v>96</v>
      </c>
    </row>
    <row r="42" spans="1:6">
      <c r="A42" s="2">
        <f t="shared" si="5"/>
        <v>40005</v>
      </c>
      <c r="B42">
        <v>4</v>
      </c>
      <c r="C42" s="2">
        <f t="shared" si="6"/>
        <v>5</v>
      </c>
      <c r="D42" t="s">
        <v>92</v>
      </c>
      <c r="E42" t="s">
        <v>93</v>
      </c>
      <c r="F42" s="3" t="s">
        <v>97</v>
      </c>
    </row>
    <row r="43" spans="1:6">
      <c r="A43" s="2">
        <f t="shared" si="5"/>
        <v>40006</v>
      </c>
      <c r="B43">
        <v>4</v>
      </c>
      <c r="C43" s="2">
        <f t="shared" si="6"/>
        <v>6</v>
      </c>
      <c r="D43" t="s">
        <v>92</v>
      </c>
      <c r="E43" t="s">
        <v>93</v>
      </c>
      <c r="F43" s="3" t="s">
        <v>98</v>
      </c>
    </row>
    <row r="44" spans="1:6">
      <c r="A44" s="2">
        <f t="shared" si="5"/>
        <v>40007</v>
      </c>
      <c r="B44">
        <v>4</v>
      </c>
      <c r="C44" s="2">
        <f t="shared" si="6"/>
        <v>7</v>
      </c>
      <c r="D44" t="s">
        <v>92</v>
      </c>
      <c r="E44" t="s">
        <v>93</v>
      </c>
      <c r="F44" s="3" t="s">
        <v>99</v>
      </c>
    </row>
    <row r="45" spans="1:6">
      <c r="A45" s="2">
        <f t="shared" si="5"/>
        <v>40008</v>
      </c>
      <c r="B45">
        <v>4</v>
      </c>
      <c r="C45" s="2">
        <f t="shared" si="6"/>
        <v>8</v>
      </c>
      <c r="D45" t="s">
        <v>92</v>
      </c>
      <c r="E45" t="s">
        <v>93</v>
      </c>
      <c r="F45" s="3" t="s">
        <v>100</v>
      </c>
    </row>
    <row r="46" spans="1:6">
      <c r="A46" s="2">
        <f t="shared" si="5"/>
        <v>40009</v>
      </c>
      <c r="B46">
        <v>4</v>
      </c>
      <c r="C46" s="2">
        <f t="shared" si="6"/>
        <v>9</v>
      </c>
      <c r="D46" t="s">
        <v>92</v>
      </c>
      <c r="E46" t="s">
        <v>93</v>
      </c>
      <c r="F46" s="3" t="s">
        <v>101</v>
      </c>
    </row>
    <row r="47" spans="1:6">
      <c r="A47" s="2">
        <f t="shared" si="5"/>
        <v>40010</v>
      </c>
      <c r="B47">
        <v>4</v>
      </c>
      <c r="C47" s="2">
        <f t="shared" si="6"/>
        <v>10</v>
      </c>
      <c r="D47" t="s">
        <v>92</v>
      </c>
      <c r="E47" t="s">
        <v>93</v>
      </c>
      <c r="F47" s="3" t="s">
        <v>102</v>
      </c>
    </row>
    <row r="48" spans="1:6">
      <c r="A48" s="2">
        <f t="shared" si="5"/>
        <v>40011</v>
      </c>
      <c r="B48">
        <v>4</v>
      </c>
      <c r="C48" s="2">
        <f t="shared" si="6"/>
        <v>11</v>
      </c>
      <c r="D48" t="s">
        <v>92</v>
      </c>
      <c r="E48" t="s">
        <v>93</v>
      </c>
      <c r="F48" s="3" t="s">
        <v>103</v>
      </c>
    </row>
    <row r="49" spans="1:6">
      <c r="A49" s="2">
        <f t="shared" si="5"/>
        <v>50001</v>
      </c>
      <c r="B49">
        <v>5</v>
      </c>
      <c r="C49">
        <v>1</v>
      </c>
      <c r="D49" t="s">
        <v>104</v>
      </c>
      <c r="E49" t="s">
        <v>105</v>
      </c>
      <c r="F49" s="3" t="s">
        <v>106</v>
      </c>
    </row>
    <row r="50" spans="1:6">
      <c r="A50" s="2">
        <f t="shared" si="5"/>
        <v>50002</v>
      </c>
      <c r="B50">
        <v>5</v>
      </c>
      <c r="C50" s="2">
        <f t="shared" ref="C50:C58" si="7">C49+1</f>
        <v>2</v>
      </c>
      <c r="D50" t="s">
        <v>104</v>
      </c>
      <c r="E50" t="s">
        <v>107</v>
      </c>
      <c r="F50" s="3" t="s">
        <v>108</v>
      </c>
    </row>
    <row r="51" spans="1:6">
      <c r="A51" s="2">
        <f t="shared" si="5"/>
        <v>50003</v>
      </c>
      <c r="B51">
        <v>5</v>
      </c>
      <c r="C51" s="2">
        <f t="shared" si="7"/>
        <v>3</v>
      </c>
      <c r="D51" t="s">
        <v>104</v>
      </c>
      <c r="E51" t="s">
        <v>109</v>
      </c>
      <c r="F51" s="3" t="s">
        <v>110</v>
      </c>
    </row>
    <row r="52" spans="1:6">
      <c r="A52" s="2">
        <f t="shared" si="5"/>
        <v>50004</v>
      </c>
      <c r="B52">
        <v>5</v>
      </c>
      <c r="C52" s="2">
        <f t="shared" si="7"/>
        <v>4</v>
      </c>
      <c r="D52" t="s">
        <v>104</v>
      </c>
      <c r="E52" t="s">
        <v>111</v>
      </c>
      <c r="F52" s="3" t="s">
        <v>112</v>
      </c>
    </row>
    <row r="53" spans="1:6">
      <c r="A53" s="2">
        <f t="shared" si="5"/>
        <v>50005</v>
      </c>
      <c r="B53">
        <v>5</v>
      </c>
      <c r="C53" s="2">
        <f t="shared" si="7"/>
        <v>5</v>
      </c>
      <c r="D53" t="s">
        <v>104</v>
      </c>
      <c r="E53" t="s">
        <v>113</v>
      </c>
      <c r="F53" s="3" t="s">
        <v>114</v>
      </c>
    </row>
    <row r="54" spans="1:6">
      <c r="A54" s="2">
        <f t="shared" si="5"/>
        <v>50006</v>
      </c>
      <c r="B54">
        <v>5</v>
      </c>
      <c r="C54" s="2">
        <f t="shared" si="7"/>
        <v>6</v>
      </c>
      <c r="D54" t="s">
        <v>104</v>
      </c>
      <c r="E54" t="s">
        <v>115</v>
      </c>
      <c r="F54" s="3" t="s">
        <v>116</v>
      </c>
    </row>
    <row r="55" spans="1:6">
      <c r="A55" s="2">
        <f t="shared" si="5"/>
        <v>50007</v>
      </c>
      <c r="B55">
        <v>5</v>
      </c>
      <c r="C55" s="2">
        <f t="shared" si="7"/>
        <v>7</v>
      </c>
      <c r="D55" t="s">
        <v>104</v>
      </c>
      <c r="E55" t="s">
        <v>117</v>
      </c>
      <c r="F55" s="3" t="s">
        <v>118</v>
      </c>
    </row>
    <row r="56" spans="1:6">
      <c r="A56" s="2">
        <f t="shared" si="5"/>
        <v>50008</v>
      </c>
      <c r="B56">
        <v>5</v>
      </c>
      <c r="C56" s="2">
        <f t="shared" si="7"/>
        <v>8</v>
      </c>
      <c r="D56" t="s">
        <v>104</v>
      </c>
      <c r="E56" t="s">
        <v>119</v>
      </c>
      <c r="F56" s="3" t="s">
        <v>120</v>
      </c>
    </row>
    <row r="57" spans="1:6">
      <c r="A57" s="2">
        <f t="shared" si="5"/>
        <v>50009</v>
      </c>
      <c r="B57">
        <v>5</v>
      </c>
      <c r="C57" s="2">
        <f t="shared" si="7"/>
        <v>9</v>
      </c>
      <c r="D57" t="s">
        <v>104</v>
      </c>
      <c r="E57" t="s">
        <v>121</v>
      </c>
      <c r="F57" s="3" t="s">
        <v>122</v>
      </c>
    </row>
    <row r="58" spans="1:6">
      <c r="A58" s="2">
        <f t="shared" si="5"/>
        <v>50010</v>
      </c>
      <c r="B58">
        <v>5</v>
      </c>
      <c r="C58" s="2">
        <f t="shared" si="7"/>
        <v>10</v>
      </c>
      <c r="D58" t="s">
        <v>104</v>
      </c>
      <c r="E58" t="s">
        <v>123</v>
      </c>
      <c r="F58" s="3" t="s">
        <v>124</v>
      </c>
    </row>
    <row r="59" spans="1:6">
      <c r="A59" s="2">
        <f t="shared" si="5"/>
        <v>60001</v>
      </c>
      <c r="B59">
        <v>6</v>
      </c>
      <c r="C59" s="2">
        <v>1</v>
      </c>
      <c r="D59" t="s">
        <v>125</v>
      </c>
      <c r="E59" t="s">
        <v>126</v>
      </c>
      <c r="F59" s="3" t="s">
        <v>127</v>
      </c>
    </row>
    <row r="60" spans="1:6">
      <c r="A60" s="2">
        <f t="shared" si="5"/>
        <v>60002</v>
      </c>
      <c r="B60">
        <v>6</v>
      </c>
      <c r="C60" s="2">
        <f t="shared" ref="C59:C97" si="8">C59+1</f>
        <v>2</v>
      </c>
      <c r="D60" t="s">
        <v>128</v>
      </c>
      <c r="E60" t="s">
        <v>129</v>
      </c>
      <c r="F60" s="3" t="s">
        <v>130</v>
      </c>
    </row>
    <row r="61" spans="1:6">
      <c r="A61" s="2">
        <f t="shared" si="5"/>
        <v>60003</v>
      </c>
      <c r="B61">
        <v>6</v>
      </c>
      <c r="C61" s="2">
        <f t="shared" si="8"/>
        <v>3</v>
      </c>
      <c r="D61" t="s">
        <v>131</v>
      </c>
      <c r="E61" t="s">
        <v>132</v>
      </c>
      <c r="F61" s="3" t="s">
        <v>133</v>
      </c>
    </row>
    <row r="62" spans="1:6">
      <c r="A62" s="2">
        <f t="shared" si="5"/>
        <v>60004</v>
      </c>
      <c r="B62">
        <v>6</v>
      </c>
      <c r="C62" s="2">
        <f t="shared" si="8"/>
        <v>4</v>
      </c>
      <c r="D62" t="s">
        <v>134</v>
      </c>
      <c r="E62" t="s">
        <v>135</v>
      </c>
      <c r="F62" s="3" t="s">
        <v>136</v>
      </c>
    </row>
    <row r="63" spans="1:6">
      <c r="A63" s="2">
        <f t="shared" si="5"/>
        <v>60005</v>
      </c>
      <c r="B63">
        <v>6</v>
      </c>
      <c r="C63" s="2">
        <f t="shared" si="8"/>
        <v>5</v>
      </c>
      <c r="D63" t="s">
        <v>137</v>
      </c>
      <c r="E63" t="s">
        <v>138</v>
      </c>
      <c r="F63" s="3" t="s">
        <v>139</v>
      </c>
    </row>
    <row r="64" spans="1:6">
      <c r="A64" s="2">
        <f t="shared" si="5"/>
        <v>60006</v>
      </c>
      <c r="B64">
        <v>6</v>
      </c>
      <c r="C64" s="2">
        <f t="shared" si="8"/>
        <v>6</v>
      </c>
      <c r="D64" t="s">
        <v>140</v>
      </c>
      <c r="E64" t="s">
        <v>141</v>
      </c>
      <c r="F64" s="3" t="s">
        <v>142</v>
      </c>
    </row>
    <row r="65" spans="1:6">
      <c r="A65" s="2">
        <f t="shared" si="5"/>
        <v>60007</v>
      </c>
      <c r="B65">
        <v>6</v>
      </c>
      <c r="C65" s="2">
        <f t="shared" si="8"/>
        <v>7</v>
      </c>
      <c r="D65" t="s">
        <v>143</v>
      </c>
      <c r="E65" t="s">
        <v>144</v>
      </c>
      <c r="F65" s="3" t="s">
        <v>145</v>
      </c>
    </row>
    <row r="66" spans="1:6">
      <c r="A66" s="2">
        <f t="shared" si="5"/>
        <v>60008</v>
      </c>
      <c r="B66">
        <v>6</v>
      </c>
      <c r="C66" s="2">
        <f t="shared" si="8"/>
        <v>8</v>
      </c>
      <c r="D66" t="s">
        <v>146</v>
      </c>
      <c r="E66" t="s">
        <v>147</v>
      </c>
      <c r="F66" s="3" t="s">
        <v>148</v>
      </c>
    </row>
    <row r="67" spans="1:6">
      <c r="A67" s="2">
        <f t="shared" si="5"/>
        <v>60009</v>
      </c>
      <c r="B67">
        <v>6</v>
      </c>
      <c r="C67" s="2">
        <f t="shared" si="8"/>
        <v>9</v>
      </c>
      <c r="D67" t="s">
        <v>149</v>
      </c>
      <c r="E67" t="s">
        <v>150</v>
      </c>
      <c r="F67" s="3" t="s">
        <v>151</v>
      </c>
    </row>
    <row r="68" spans="1:6">
      <c r="A68" s="2">
        <f t="shared" si="5"/>
        <v>60010</v>
      </c>
      <c r="B68">
        <v>6</v>
      </c>
      <c r="C68" s="2">
        <f t="shared" si="8"/>
        <v>10</v>
      </c>
      <c r="D68" t="s">
        <v>152</v>
      </c>
      <c r="E68" t="s">
        <v>153</v>
      </c>
      <c r="F68" s="3" t="s">
        <v>154</v>
      </c>
    </row>
    <row r="69" spans="1:6">
      <c r="A69" s="2">
        <f t="shared" si="5"/>
        <v>60011</v>
      </c>
      <c r="B69">
        <v>6</v>
      </c>
      <c r="C69" s="2">
        <f t="shared" si="8"/>
        <v>11</v>
      </c>
      <c r="D69" t="s">
        <v>155</v>
      </c>
      <c r="E69" t="s">
        <v>156</v>
      </c>
      <c r="F69" s="3" t="s">
        <v>157</v>
      </c>
    </row>
    <row r="70" spans="1:6">
      <c r="A70" s="2">
        <f t="shared" si="5"/>
        <v>60012</v>
      </c>
      <c r="B70">
        <v>6</v>
      </c>
      <c r="C70" s="2">
        <f t="shared" si="8"/>
        <v>12</v>
      </c>
      <c r="D70" t="s">
        <v>158</v>
      </c>
      <c r="E70" t="s">
        <v>159</v>
      </c>
      <c r="F70" s="3" t="s">
        <v>160</v>
      </c>
    </row>
    <row r="71" spans="1:6">
      <c r="A71" s="2">
        <f t="shared" si="5"/>
        <v>60013</v>
      </c>
      <c r="B71">
        <v>6</v>
      </c>
      <c r="C71" s="2">
        <f t="shared" si="8"/>
        <v>13</v>
      </c>
      <c r="D71" t="s">
        <v>161</v>
      </c>
      <c r="E71" t="s">
        <v>162</v>
      </c>
      <c r="F71" s="3" t="s">
        <v>163</v>
      </c>
    </row>
    <row r="72" spans="1:6">
      <c r="A72" s="2">
        <f t="shared" si="5"/>
        <v>60014</v>
      </c>
      <c r="B72">
        <v>6</v>
      </c>
      <c r="C72" s="2">
        <f t="shared" si="8"/>
        <v>14</v>
      </c>
      <c r="D72" t="s">
        <v>164</v>
      </c>
      <c r="E72" t="s">
        <v>165</v>
      </c>
      <c r="F72" s="3" t="s">
        <v>166</v>
      </c>
    </row>
    <row r="73" spans="1:6">
      <c r="A73" s="2">
        <f t="shared" si="5"/>
        <v>60015</v>
      </c>
      <c r="B73">
        <v>6</v>
      </c>
      <c r="C73" s="2">
        <f t="shared" si="8"/>
        <v>15</v>
      </c>
      <c r="D73" t="s">
        <v>167</v>
      </c>
      <c r="E73" t="s">
        <v>168</v>
      </c>
      <c r="F73" s="3" t="s">
        <v>169</v>
      </c>
    </row>
    <row r="74" spans="1:6">
      <c r="A74" s="2">
        <f t="shared" si="5"/>
        <v>60016</v>
      </c>
      <c r="B74">
        <v>6</v>
      </c>
      <c r="C74" s="2">
        <f t="shared" si="8"/>
        <v>16</v>
      </c>
      <c r="D74" t="s">
        <v>170</v>
      </c>
      <c r="E74" t="s">
        <v>171</v>
      </c>
      <c r="F74" s="3" t="s">
        <v>172</v>
      </c>
    </row>
    <row r="75" spans="1:6">
      <c r="A75" s="2">
        <f t="shared" si="5"/>
        <v>60017</v>
      </c>
      <c r="B75">
        <v>6</v>
      </c>
      <c r="C75" s="2">
        <f t="shared" si="8"/>
        <v>17</v>
      </c>
      <c r="D75" t="s">
        <v>173</v>
      </c>
      <c r="E75" t="s">
        <v>174</v>
      </c>
      <c r="F75" s="3" t="s">
        <v>175</v>
      </c>
    </row>
    <row r="76" spans="1:6">
      <c r="A76" s="2">
        <f t="shared" si="5"/>
        <v>60018</v>
      </c>
      <c r="B76">
        <v>6</v>
      </c>
      <c r="C76" s="2">
        <f t="shared" si="8"/>
        <v>18</v>
      </c>
      <c r="D76" t="s">
        <v>176</v>
      </c>
      <c r="E76" t="s">
        <v>177</v>
      </c>
      <c r="F76" s="3" t="s">
        <v>178</v>
      </c>
    </row>
    <row r="77" spans="1:6">
      <c r="A77" s="2">
        <f t="shared" si="5"/>
        <v>60019</v>
      </c>
      <c r="B77">
        <v>6</v>
      </c>
      <c r="C77" s="2">
        <f t="shared" si="8"/>
        <v>19</v>
      </c>
      <c r="D77" t="s">
        <v>179</v>
      </c>
      <c r="E77" t="s">
        <v>180</v>
      </c>
      <c r="F77" s="3" t="s">
        <v>181</v>
      </c>
    </row>
    <row r="78" spans="1:6">
      <c r="A78" s="2">
        <f t="shared" si="5"/>
        <v>60020</v>
      </c>
      <c r="B78">
        <v>6</v>
      </c>
      <c r="C78" s="2">
        <f t="shared" si="8"/>
        <v>20</v>
      </c>
      <c r="D78" t="s">
        <v>182</v>
      </c>
      <c r="E78" t="s">
        <v>183</v>
      </c>
      <c r="F78" s="3" t="s">
        <v>184</v>
      </c>
    </row>
    <row r="79" spans="1:6">
      <c r="A79" s="2">
        <f t="shared" si="5"/>
        <v>60021</v>
      </c>
      <c r="B79">
        <v>6</v>
      </c>
      <c r="C79" s="2">
        <f t="shared" si="8"/>
        <v>21</v>
      </c>
      <c r="D79" t="s">
        <v>185</v>
      </c>
      <c r="E79" t="s">
        <v>186</v>
      </c>
      <c r="F79" s="3" t="s">
        <v>187</v>
      </c>
    </row>
    <row r="80" spans="1:6">
      <c r="A80" s="2">
        <f t="shared" si="5"/>
        <v>60022</v>
      </c>
      <c r="B80">
        <v>6</v>
      </c>
      <c r="C80" s="2">
        <f t="shared" si="8"/>
        <v>22</v>
      </c>
      <c r="D80" t="s">
        <v>188</v>
      </c>
      <c r="E80" t="s">
        <v>189</v>
      </c>
      <c r="F80" s="3" t="s">
        <v>190</v>
      </c>
    </row>
    <row r="81" spans="1:6">
      <c r="A81" s="2">
        <f t="shared" ref="A81:A96" si="9">10000*B81+C81</f>
        <v>60023</v>
      </c>
      <c r="B81">
        <v>6</v>
      </c>
      <c r="C81" s="2">
        <f t="shared" si="8"/>
        <v>23</v>
      </c>
      <c r="D81" t="s">
        <v>191</v>
      </c>
      <c r="E81" t="s">
        <v>192</v>
      </c>
      <c r="F81" s="3" t="s">
        <v>193</v>
      </c>
    </row>
    <row r="82" spans="1:6">
      <c r="A82" s="2">
        <f t="shared" si="9"/>
        <v>60024</v>
      </c>
      <c r="B82">
        <v>6</v>
      </c>
      <c r="C82" s="2">
        <f t="shared" si="8"/>
        <v>24</v>
      </c>
      <c r="D82" t="s">
        <v>194</v>
      </c>
      <c r="E82" t="s">
        <v>195</v>
      </c>
      <c r="F82" s="3" t="s">
        <v>196</v>
      </c>
    </row>
    <row r="83" spans="1:6">
      <c r="A83" s="2">
        <f t="shared" si="9"/>
        <v>60025</v>
      </c>
      <c r="B83">
        <v>6</v>
      </c>
      <c r="C83" s="2">
        <f t="shared" si="8"/>
        <v>25</v>
      </c>
      <c r="D83" t="s">
        <v>197</v>
      </c>
      <c r="E83" t="s">
        <v>198</v>
      </c>
      <c r="F83" s="3" t="s">
        <v>199</v>
      </c>
    </row>
    <row r="84" spans="1:6">
      <c r="A84" s="2">
        <f t="shared" si="9"/>
        <v>60026</v>
      </c>
      <c r="B84">
        <v>6</v>
      </c>
      <c r="C84" s="2">
        <f t="shared" si="8"/>
        <v>26</v>
      </c>
      <c r="D84" t="s">
        <v>200</v>
      </c>
      <c r="E84" t="s">
        <v>201</v>
      </c>
      <c r="F84" s="3" t="s">
        <v>202</v>
      </c>
    </row>
    <row r="85" spans="1:6">
      <c r="A85" s="2">
        <f t="shared" si="9"/>
        <v>60027</v>
      </c>
      <c r="B85">
        <v>6</v>
      </c>
      <c r="C85" s="2">
        <f t="shared" si="8"/>
        <v>27</v>
      </c>
      <c r="D85" t="s">
        <v>203</v>
      </c>
      <c r="E85" t="s">
        <v>204</v>
      </c>
      <c r="F85" s="3" t="s">
        <v>205</v>
      </c>
    </row>
    <row r="86" spans="1:6">
      <c r="A86" s="2">
        <f t="shared" si="9"/>
        <v>60028</v>
      </c>
      <c r="B86">
        <v>6</v>
      </c>
      <c r="C86" s="2">
        <f t="shared" si="8"/>
        <v>28</v>
      </c>
      <c r="D86" t="s">
        <v>206</v>
      </c>
      <c r="E86" t="s">
        <v>207</v>
      </c>
      <c r="F86" s="3" t="s">
        <v>208</v>
      </c>
    </row>
    <row r="87" spans="1:6">
      <c r="A87" s="2">
        <f t="shared" si="9"/>
        <v>60029</v>
      </c>
      <c r="B87">
        <v>6</v>
      </c>
      <c r="C87" s="2">
        <f t="shared" si="8"/>
        <v>29</v>
      </c>
      <c r="D87" t="s">
        <v>209</v>
      </c>
      <c r="E87" t="s">
        <v>210</v>
      </c>
      <c r="F87" s="3" t="s">
        <v>211</v>
      </c>
    </row>
    <row r="88" spans="1:6">
      <c r="A88" s="2">
        <f t="shared" si="9"/>
        <v>60030</v>
      </c>
      <c r="B88">
        <v>6</v>
      </c>
      <c r="C88" s="2">
        <f t="shared" si="8"/>
        <v>30</v>
      </c>
      <c r="D88" t="s">
        <v>212</v>
      </c>
      <c r="E88" t="s">
        <v>213</v>
      </c>
      <c r="F88" s="3" t="s">
        <v>214</v>
      </c>
    </row>
    <row r="89" spans="1:6">
      <c r="A89" s="2">
        <f t="shared" si="9"/>
        <v>60031</v>
      </c>
      <c r="B89">
        <v>6</v>
      </c>
      <c r="C89" s="2">
        <f t="shared" si="8"/>
        <v>31</v>
      </c>
      <c r="D89" t="s">
        <v>215</v>
      </c>
      <c r="E89" t="s">
        <v>216</v>
      </c>
      <c r="F89" s="3" t="s">
        <v>217</v>
      </c>
    </row>
    <row r="90" spans="1:6">
      <c r="A90" s="2">
        <f t="shared" si="9"/>
        <v>60032</v>
      </c>
      <c r="B90">
        <v>6</v>
      </c>
      <c r="C90" s="2">
        <f t="shared" si="8"/>
        <v>32</v>
      </c>
      <c r="D90" t="s">
        <v>218</v>
      </c>
      <c r="E90" t="s">
        <v>219</v>
      </c>
      <c r="F90" s="3" t="s">
        <v>220</v>
      </c>
    </row>
    <row r="91" spans="1:6">
      <c r="A91" s="2">
        <f t="shared" si="9"/>
        <v>60033</v>
      </c>
      <c r="B91">
        <v>6</v>
      </c>
      <c r="C91" s="2">
        <f t="shared" si="8"/>
        <v>33</v>
      </c>
      <c r="D91" t="s">
        <v>221</v>
      </c>
      <c r="E91" t="s">
        <v>222</v>
      </c>
      <c r="F91" s="3" t="s">
        <v>223</v>
      </c>
    </row>
    <row r="92" spans="1:6">
      <c r="A92" s="2">
        <f t="shared" si="9"/>
        <v>60034</v>
      </c>
      <c r="B92">
        <v>6</v>
      </c>
      <c r="C92" s="2">
        <f t="shared" si="8"/>
        <v>34</v>
      </c>
      <c r="D92" t="s">
        <v>224</v>
      </c>
      <c r="E92" t="s">
        <v>225</v>
      </c>
      <c r="F92" s="3" t="s">
        <v>226</v>
      </c>
    </row>
    <row r="93" spans="1:6">
      <c r="A93" s="2">
        <f t="shared" si="9"/>
        <v>60035</v>
      </c>
      <c r="B93">
        <v>6</v>
      </c>
      <c r="C93" s="2">
        <f t="shared" si="8"/>
        <v>35</v>
      </c>
      <c r="D93" t="s">
        <v>227</v>
      </c>
      <c r="E93" t="s">
        <v>228</v>
      </c>
      <c r="F93" s="3" t="s">
        <v>229</v>
      </c>
    </row>
    <row r="94" spans="1:6">
      <c r="A94" s="2">
        <f t="shared" si="9"/>
        <v>60036</v>
      </c>
      <c r="B94">
        <v>6</v>
      </c>
      <c r="C94" s="2">
        <f t="shared" si="8"/>
        <v>36</v>
      </c>
      <c r="D94" t="s">
        <v>230</v>
      </c>
      <c r="E94" t="s">
        <v>231</v>
      </c>
      <c r="F94" s="3" t="s">
        <v>232</v>
      </c>
    </row>
    <row r="95" spans="1:6">
      <c r="A95" s="2">
        <f t="shared" si="9"/>
        <v>60037</v>
      </c>
      <c r="B95">
        <v>6</v>
      </c>
      <c r="C95" s="2">
        <f t="shared" si="8"/>
        <v>37</v>
      </c>
      <c r="D95" t="s">
        <v>233</v>
      </c>
      <c r="E95" t="s">
        <v>234</v>
      </c>
      <c r="F95" s="3" t="s">
        <v>235</v>
      </c>
    </row>
    <row r="96" spans="1:6">
      <c r="A96" s="2">
        <f t="shared" si="9"/>
        <v>60038</v>
      </c>
      <c r="B96">
        <v>6</v>
      </c>
      <c r="C96" s="2">
        <f t="shared" si="8"/>
        <v>38</v>
      </c>
      <c r="D96" t="s">
        <v>236</v>
      </c>
      <c r="E96" t="s">
        <v>237</v>
      </c>
      <c r="F96" s="3" t="s">
        <v>238</v>
      </c>
    </row>
    <row r="97" spans="1:6">
      <c r="A97" s="2">
        <f t="shared" ref="A97:A108" si="10">10000*B97+C97</f>
        <v>60039</v>
      </c>
      <c r="B97">
        <v>6</v>
      </c>
      <c r="C97" s="2">
        <f t="shared" si="8"/>
        <v>39</v>
      </c>
      <c r="D97" t="s">
        <v>239</v>
      </c>
      <c r="E97" t="s">
        <v>240</v>
      </c>
      <c r="F97" s="3" t="s">
        <v>241</v>
      </c>
    </row>
    <row r="98" spans="1:6">
      <c r="A98" s="2">
        <f t="shared" si="10"/>
        <v>60040</v>
      </c>
      <c r="B98">
        <v>6</v>
      </c>
      <c r="C98" s="2">
        <f t="shared" ref="C98:C115" si="11">C97+1</f>
        <v>40</v>
      </c>
      <c r="D98" t="s">
        <v>242</v>
      </c>
      <c r="E98" t="s">
        <v>243</v>
      </c>
      <c r="F98" s="3" t="s">
        <v>244</v>
      </c>
    </row>
    <row r="99" spans="1:6">
      <c r="A99" s="2">
        <f t="shared" si="10"/>
        <v>70010</v>
      </c>
      <c r="B99">
        <v>7</v>
      </c>
      <c r="C99" s="2">
        <v>10</v>
      </c>
      <c r="D99" t="s">
        <v>245</v>
      </c>
      <c r="E99" t="s">
        <v>246</v>
      </c>
      <c r="F99" s="4">
        <v>1000</v>
      </c>
    </row>
    <row r="100" spans="1:6">
      <c r="A100" s="2">
        <f t="shared" si="10"/>
        <v>70200</v>
      </c>
      <c r="B100">
        <v>7</v>
      </c>
      <c r="C100" s="2">
        <f>200</f>
        <v>200</v>
      </c>
      <c r="D100" s="2" t="s">
        <v>247</v>
      </c>
      <c r="E100" t="s">
        <v>248</v>
      </c>
      <c r="F100" s="4" t="s">
        <v>42</v>
      </c>
    </row>
    <row r="101" spans="1:6">
      <c r="A101" s="2">
        <f t="shared" si="10"/>
        <v>70201</v>
      </c>
      <c r="B101">
        <v>7</v>
      </c>
      <c r="C101" s="2">
        <f t="shared" si="11"/>
        <v>201</v>
      </c>
      <c r="D101" s="2" t="s">
        <v>247</v>
      </c>
      <c r="E101" t="s">
        <v>249</v>
      </c>
      <c r="F101" s="4">
        <v>2001</v>
      </c>
    </row>
    <row r="102" spans="1:6">
      <c r="A102" s="2">
        <f t="shared" si="10"/>
        <v>70202</v>
      </c>
      <c r="B102">
        <v>7</v>
      </c>
      <c r="C102" s="2">
        <f t="shared" si="11"/>
        <v>202</v>
      </c>
      <c r="D102" s="2" t="s">
        <v>247</v>
      </c>
      <c r="E102" t="s">
        <v>250</v>
      </c>
      <c r="F102" s="4">
        <v>2002</v>
      </c>
    </row>
    <row r="103" spans="1:6">
      <c r="A103" s="2">
        <f t="shared" si="10"/>
        <v>70203</v>
      </c>
      <c r="B103">
        <v>7</v>
      </c>
      <c r="C103" s="2">
        <f t="shared" si="11"/>
        <v>203</v>
      </c>
      <c r="D103" s="2" t="s">
        <v>247</v>
      </c>
      <c r="E103" t="s">
        <v>251</v>
      </c>
      <c r="F103" s="4">
        <v>2003</v>
      </c>
    </row>
    <row r="104" spans="1:6">
      <c r="A104" s="2">
        <f t="shared" si="10"/>
        <v>70204</v>
      </c>
      <c r="B104">
        <v>7</v>
      </c>
      <c r="C104" s="2">
        <f t="shared" si="11"/>
        <v>204</v>
      </c>
      <c r="D104" s="2" t="s">
        <v>247</v>
      </c>
      <c r="E104" t="s">
        <v>252</v>
      </c>
      <c r="F104" s="4">
        <v>2004</v>
      </c>
    </row>
    <row r="105" spans="1:6">
      <c r="A105" s="2">
        <f t="shared" si="10"/>
        <v>70205</v>
      </c>
      <c r="B105">
        <v>7</v>
      </c>
      <c r="C105" s="2">
        <f t="shared" si="11"/>
        <v>205</v>
      </c>
      <c r="D105" s="2" t="s">
        <v>247</v>
      </c>
      <c r="E105" t="s">
        <v>253</v>
      </c>
      <c r="F105" s="4">
        <v>2005</v>
      </c>
    </row>
    <row r="106" spans="1:6">
      <c r="A106" s="2">
        <f t="shared" si="10"/>
        <v>70206</v>
      </c>
      <c r="B106">
        <v>7</v>
      </c>
      <c r="C106" s="2">
        <f t="shared" si="11"/>
        <v>206</v>
      </c>
      <c r="D106" s="2" t="s">
        <v>247</v>
      </c>
      <c r="E106" t="s">
        <v>254</v>
      </c>
      <c r="F106" s="4">
        <v>2006</v>
      </c>
    </row>
    <row r="107" spans="1:6">
      <c r="A107" s="2">
        <f t="shared" si="10"/>
        <v>70207</v>
      </c>
      <c r="B107">
        <v>7</v>
      </c>
      <c r="C107" s="2">
        <f t="shared" si="11"/>
        <v>207</v>
      </c>
      <c r="D107" s="2" t="s">
        <v>247</v>
      </c>
      <c r="E107" t="s">
        <v>255</v>
      </c>
      <c r="F107" s="4">
        <v>2007</v>
      </c>
    </row>
    <row r="108" spans="1:6">
      <c r="A108" s="2">
        <f t="shared" si="10"/>
        <v>70208</v>
      </c>
      <c r="B108">
        <v>7</v>
      </c>
      <c r="C108" s="2">
        <f t="shared" si="11"/>
        <v>208</v>
      </c>
      <c r="D108" s="2" t="s">
        <v>247</v>
      </c>
      <c r="E108" t="s">
        <v>256</v>
      </c>
      <c r="F108" s="4">
        <v>2008</v>
      </c>
    </row>
    <row r="109" spans="1:6">
      <c r="A109" s="2">
        <f t="shared" ref="A109:A115" si="12">10000*B109+C109</f>
        <v>70209</v>
      </c>
      <c r="B109">
        <v>7</v>
      </c>
      <c r="C109" s="2">
        <f t="shared" si="11"/>
        <v>209</v>
      </c>
      <c r="D109" s="2" t="s">
        <v>247</v>
      </c>
      <c r="E109" t="s">
        <v>257</v>
      </c>
      <c r="F109" s="4">
        <v>2009</v>
      </c>
    </row>
    <row r="110" spans="1:6">
      <c r="A110" s="2">
        <f t="shared" si="12"/>
        <v>70210</v>
      </c>
      <c r="B110">
        <v>7</v>
      </c>
      <c r="C110" s="2">
        <f t="shared" si="11"/>
        <v>210</v>
      </c>
      <c r="D110" s="2" t="s">
        <v>247</v>
      </c>
      <c r="E110" t="s">
        <v>258</v>
      </c>
      <c r="F110" s="4">
        <v>2010</v>
      </c>
    </row>
    <row r="111" spans="1:6">
      <c r="A111" s="2">
        <f t="shared" si="12"/>
        <v>70211</v>
      </c>
      <c r="B111">
        <v>7</v>
      </c>
      <c r="C111" s="2">
        <f t="shared" si="11"/>
        <v>211</v>
      </c>
      <c r="D111" s="2" t="s">
        <v>247</v>
      </c>
      <c r="E111" t="s">
        <v>259</v>
      </c>
      <c r="F111" s="4">
        <v>2011</v>
      </c>
    </row>
    <row r="112" spans="1:6">
      <c r="A112" s="2">
        <f t="shared" si="12"/>
        <v>70212</v>
      </c>
      <c r="B112">
        <v>7</v>
      </c>
      <c r="C112" s="2">
        <f t="shared" si="11"/>
        <v>212</v>
      </c>
      <c r="D112" s="2" t="s">
        <v>247</v>
      </c>
      <c r="E112" t="s">
        <v>260</v>
      </c>
      <c r="F112" s="4">
        <v>2012</v>
      </c>
    </row>
    <row r="113" spans="1:6">
      <c r="A113" s="2">
        <f t="shared" si="12"/>
        <v>70213</v>
      </c>
      <c r="B113">
        <v>7</v>
      </c>
      <c r="C113" s="2">
        <f t="shared" si="11"/>
        <v>213</v>
      </c>
      <c r="D113" s="2" t="s">
        <v>247</v>
      </c>
      <c r="E113" t="s">
        <v>261</v>
      </c>
      <c r="F113" s="4">
        <v>2013</v>
      </c>
    </row>
    <row r="114" spans="1:6">
      <c r="A114" s="2">
        <f t="shared" si="12"/>
        <v>70214</v>
      </c>
      <c r="B114">
        <v>7</v>
      </c>
      <c r="C114" s="2">
        <f t="shared" si="11"/>
        <v>214</v>
      </c>
      <c r="D114" s="2" t="s">
        <v>247</v>
      </c>
      <c r="E114" t="s">
        <v>262</v>
      </c>
      <c r="F114" s="4" t="s">
        <v>263</v>
      </c>
    </row>
    <row r="115" spans="1:6">
      <c r="A115" s="2">
        <f t="shared" ref="A115:A120" si="13">10000*B115+C115</f>
        <v>70300</v>
      </c>
      <c r="B115">
        <v>7</v>
      </c>
      <c r="C115" s="2">
        <v>300</v>
      </c>
      <c r="D115" t="s">
        <v>264</v>
      </c>
      <c r="E115" t="s">
        <v>265</v>
      </c>
      <c r="F115" s="4" t="s">
        <v>48</v>
      </c>
    </row>
    <row r="116" spans="1:6">
      <c r="A116" s="2">
        <f t="shared" si="13"/>
        <v>70301</v>
      </c>
      <c r="B116">
        <v>7</v>
      </c>
      <c r="C116" s="2">
        <f>C115+1</f>
        <v>301</v>
      </c>
      <c r="D116" t="s">
        <v>266</v>
      </c>
      <c r="E116" t="s">
        <v>267</v>
      </c>
      <c r="F116" s="3">
        <v>3001</v>
      </c>
    </row>
    <row r="117" spans="1:6">
      <c r="A117" s="2">
        <f t="shared" si="13"/>
        <v>70400</v>
      </c>
      <c r="B117">
        <v>7</v>
      </c>
      <c r="C117" s="2">
        <v>400</v>
      </c>
      <c r="D117" t="s">
        <v>268</v>
      </c>
      <c r="E117" t="s">
        <v>269</v>
      </c>
      <c r="F117" s="3">
        <v>4000</v>
      </c>
    </row>
    <row r="118" spans="1:6">
      <c r="A118" s="2">
        <f t="shared" si="13"/>
        <v>70500</v>
      </c>
      <c r="B118">
        <v>7</v>
      </c>
      <c r="C118" s="2">
        <v>500</v>
      </c>
      <c r="D118" t="s">
        <v>270</v>
      </c>
      <c r="E118" t="s">
        <v>271</v>
      </c>
      <c r="F118" s="3">
        <v>5000</v>
      </c>
    </row>
    <row r="119" spans="1:6">
      <c r="A119" s="2">
        <f t="shared" si="13"/>
        <v>70600</v>
      </c>
      <c r="B119">
        <v>7</v>
      </c>
      <c r="C119" s="2">
        <v>600</v>
      </c>
      <c r="D119" t="s">
        <v>272</v>
      </c>
      <c r="E119" t="s">
        <v>273</v>
      </c>
      <c r="F119" s="3">
        <v>6000</v>
      </c>
    </row>
    <row r="120" spans="1:6">
      <c r="A120" s="2">
        <f t="shared" si="13"/>
        <v>70601</v>
      </c>
      <c r="B120">
        <v>7</v>
      </c>
      <c r="C120" s="2">
        <f>C119+1</f>
        <v>601</v>
      </c>
      <c r="D120" t="s">
        <v>272</v>
      </c>
      <c r="E120" t="s">
        <v>274</v>
      </c>
      <c r="F120" s="3" t="s">
        <v>275</v>
      </c>
    </row>
    <row r="121" spans="1:6">
      <c r="A121" s="2">
        <f t="shared" ref="A121:A123" si="14">10000*B121+C121</f>
        <v>70001</v>
      </c>
      <c r="B121">
        <v>7</v>
      </c>
      <c r="C121" s="2">
        <v>1</v>
      </c>
      <c r="D121" t="s">
        <v>276</v>
      </c>
      <c r="E121" t="s">
        <v>277</v>
      </c>
      <c r="F121" s="3" t="s">
        <v>278</v>
      </c>
    </row>
    <row r="122" spans="1:6">
      <c r="A122" s="2">
        <f t="shared" si="14"/>
        <v>70002</v>
      </c>
      <c r="B122">
        <v>7</v>
      </c>
      <c r="C122" s="2">
        <v>2</v>
      </c>
      <c r="D122" t="s">
        <v>276</v>
      </c>
      <c r="E122" t="s">
        <v>279</v>
      </c>
      <c r="F122" s="3" t="s">
        <v>280</v>
      </c>
    </row>
    <row r="123" spans="1:6">
      <c r="A123" s="2">
        <f t="shared" si="14"/>
        <v>70002</v>
      </c>
      <c r="B123">
        <v>7</v>
      </c>
      <c r="C123" s="2">
        <v>2</v>
      </c>
      <c r="D123" t="s">
        <v>276</v>
      </c>
      <c r="E123" t="s">
        <v>281</v>
      </c>
      <c r="F123" s="3" t="s">
        <v>282</v>
      </c>
    </row>
    <row r="124" spans="1:6">
      <c r="A124" s="2">
        <f t="shared" ref="A124:A136" si="15">10000*B124+C124</f>
        <v>80001</v>
      </c>
      <c r="B124">
        <v>8</v>
      </c>
      <c r="C124" s="2">
        <v>1</v>
      </c>
      <c r="D124" t="s">
        <v>283</v>
      </c>
      <c r="E124" t="s">
        <v>284</v>
      </c>
      <c r="F124" s="3">
        <v>1001</v>
      </c>
    </row>
    <row r="125" spans="1:6">
      <c r="A125" s="2">
        <f t="shared" si="15"/>
        <v>90001</v>
      </c>
      <c r="B125">
        <v>9</v>
      </c>
      <c r="C125" s="2">
        <v>1</v>
      </c>
      <c r="D125" t="s">
        <v>285</v>
      </c>
      <c r="E125" t="s">
        <v>286</v>
      </c>
      <c r="F125" s="3" t="s">
        <v>287</v>
      </c>
    </row>
    <row r="126" spans="1:6">
      <c r="A126" s="2">
        <f t="shared" si="15"/>
        <v>90002</v>
      </c>
      <c r="B126">
        <v>9</v>
      </c>
      <c r="C126" s="2">
        <f t="shared" ref="C126:C134" si="16">C125+1</f>
        <v>2</v>
      </c>
      <c r="D126" t="s">
        <v>288</v>
      </c>
      <c r="E126" t="s">
        <v>289</v>
      </c>
      <c r="F126" s="3" t="s">
        <v>290</v>
      </c>
    </row>
    <row r="127" spans="1:6">
      <c r="A127" s="2">
        <f t="shared" si="15"/>
        <v>90003</v>
      </c>
      <c r="B127">
        <v>9</v>
      </c>
      <c r="C127" s="2">
        <f t="shared" si="16"/>
        <v>3</v>
      </c>
      <c r="D127" t="s">
        <v>291</v>
      </c>
      <c r="E127" t="s">
        <v>292</v>
      </c>
      <c r="F127" s="3" t="s">
        <v>293</v>
      </c>
    </row>
    <row r="128" spans="1:6">
      <c r="A128" s="2">
        <f t="shared" si="15"/>
        <v>90004</v>
      </c>
      <c r="B128">
        <v>9</v>
      </c>
      <c r="C128" s="2">
        <f t="shared" si="16"/>
        <v>4</v>
      </c>
      <c r="D128" t="s">
        <v>294</v>
      </c>
      <c r="E128" t="s">
        <v>295</v>
      </c>
      <c r="F128" s="3" t="s">
        <v>296</v>
      </c>
    </row>
    <row r="129" spans="1:6">
      <c r="A129" s="2">
        <f t="shared" si="15"/>
        <v>90005</v>
      </c>
      <c r="B129">
        <v>9</v>
      </c>
      <c r="C129" s="2">
        <f t="shared" si="16"/>
        <v>5</v>
      </c>
      <c r="D129" t="s">
        <v>297</v>
      </c>
      <c r="E129" t="s">
        <v>298</v>
      </c>
      <c r="F129" s="3" t="s">
        <v>299</v>
      </c>
    </row>
    <row r="130" spans="1:6">
      <c r="A130" s="2">
        <f t="shared" si="15"/>
        <v>90006</v>
      </c>
      <c r="B130">
        <v>9</v>
      </c>
      <c r="C130" s="2">
        <f t="shared" si="16"/>
        <v>6</v>
      </c>
      <c r="D130" t="s">
        <v>300</v>
      </c>
      <c r="E130" t="s">
        <v>301</v>
      </c>
      <c r="F130" s="3" t="s">
        <v>302</v>
      </c>
    </row>
    <row r="131" spans="1:6">
      <c r="A131" s="2">
        <f t="shared" si="15"/>
        <v>90007</v>
      </c>
      <c r="B131">
        <v>9</v>
      </c>
      <c r="C131" s="2">
        <f t="shared" si="16"/>
        <v>7</v>
      </c>
      <c r="D131" t="s">
        <v>303</v>
      </c>
      <c r="E131" t="s">
        <v>304</v>
      </c>
      <c r="F131" s="3" t="s">
        <v>305</v>
      </c>
    </row>
    <row r="132" spans="1:6">
      <c r="A132" s="2">
        <f t="shared" si="15"/>
        <v>90008</v>
      </c>
      <c r="B132">
        <v>9</v>
      </c>
      <c r="C132" s="2">
        <f t="shared" si="16"/>
        <v>8</v>
      </c>
      <c r="D132" t="s">
        <v>306</v>
      </c>
      <c r="E132" t="s">
        <v>307</v>
      </c>
      <c r="F132" s="3" t="s">
        <v>308</v>
      </c>
    </row>
    <row r="133" spans="1:6">
      <c r="A133" s="2">
        <f t="shared" si="15"/>
        <v>90009</v>
      </c>
      <c r="B133">
        <v>9</v>
      </c>
      <c r="C133" s="2">
        <f t="shared" si="16"/>
        <v>9</v>
      </c>
      <c r="D133" t="s">
        <v>309</v>
      </c>
      <c r="E133" t="s">
        <v>310</v>
      </c>
      <c r="F133" s="3" t="s">
        <v>311</v>
      </c>
    </row>
    <row r="134" spans="1:6">
      <c r="A134" s="2">
        <f t="shared" si="15"/>
        <v>90010</v>
      </c>
      <c r="B134">
        <v>9</v>
      </c>
      <c r="C134" s="2">
        <f t="shared" si="16"/>
        <v>10</v>
      </c>
      <c r="D134" t="s">
        <v>312</v>
      </c>
      <c r="E134" t="s">
        <v>313</v>
      </c>
      <c r="F134" s="3" t="s">
        <v>314</v>
      </c>
    </row>
    <row r="135" spans="1:6">
      <c r="A135" s="2">
        <f t="shared" si="15"/>
        <v>100001</v>
      </c>
      <c r="B135">
        <v>10</v>
      </c>
      <c r="C135" s="2">
        <v>1</v>
      </c>
      <c r="D135" t="s">
        <v>315</v>
      </c>
      <c r="E135" t="s">
        <v>316</v>
      </c>
      <c r="F135" s="3" t="s">
        <v>317</v>
      </c>
    </row>
    <row r="136" spans="1:6">
      <c r="A136" s="2">
        <f t="shared" si="15"/>
        <v>110001</v>
      </c>
      <c r="B136">
        <v>11</v>
      </c>
      <c r="C136">
        <v>1</v>
      </c>
      <c r="D136" t="s">
        <v>318</v>
      </c>
      <c r="E136" t="s">
        <v>319</v>
      </c>
      <c r="F136" s="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25" sqref="H25"/>
    </sheetView>
  </sheetViews>
  <sheetFormatPr defaultColWidth="9" defaultRowHeight="13.5" outlineLevelCol="5"/>
  <cols>
    <col min="5" max="5" width="31.625" customWidth="1"/>
  </cols>
  <sheetData>
    <row r="1" customFormat="1" spans="1:6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customFormat="1" spans="1:6">
      <c r="A2" t="s">
        <v>5</v>
      </c>
      <c r="B2" t="s">
        <v>5</v>
      </c>
      <c r="D2" t="s">
        <v>6</v>
      </c>
      <c r="E2" t="s">
        <v>6</v>
      </c>
      <c r="F2" t="s">
        <v>7</v>
      </c>
    </row>
    <row r="3" spans="1:6">
      <c r="A3">
        <f t="shared" ref="A3:A41" si="0">B3*1000+C3</f>
        <v>101000</v>
      </c>
      <c r="B3">
        <v>101</v>
      </c>
      <c r="C3">
        <v>0</v>
      </c>
      <c r="D3" t="s">
        <v>320</v>
      </c>
      <c r="E3" t="s">
        <v>321</v>
      </c>
      <c r="F3">
        <v>999</v>
      </c>
    </row>
    <row r="4" spans="1:6">
      <c r="A4">
        <f t="shared" si="0"/>
        <v>101002</v>
      </c>
      <c r="B4">
        <v>101</v>
      </c>
      <c r="C4">
        <v>2</v>
      </c>
      <c r="D4" t="s">
        <v>322</v>
      </c>
      <c r="E4" t="s">
        <v>323</v>
      </c>
      <c r="F4" t="s">
        <v>324</v>
      </c>
    </row>
    <row r="5" spans="1:6">
      <c r="A5">
        <f t="shared" si="0"/>
        <v>101003</v>
      </c>
      <c r="B5">
        <v>101</v>
      </c>
      <c r="C5">
        <v>3</v>
      </c>
      <c r="D5" t="s">
        <v>325</v>
      </c>
      <c r="E5" t="s">
        <v>326</v>
      </c>
      <c r="F5" t="s">
        <v>327</v>
      </c>
    </row>
    <row r="6" spans="1:6">
      <c r="A6">
        <f t="shared" si="0"/>
        <v>102001</v>
      </c>
      <c r="B6">
        <v>102</v>
      </c>
      <c r="C6">
        <v>1</v>
      </c>
      <c r="D6" t="s">
        <v>328</v>
      </c>
      <c r="E6" t="s">
        <v>329</v>
      </c>
      <c r="F6" t="s">
        <v>330</v>
      </c>
    </row>
    <row r="7" spans="1:6">
      <c r="A7">
        <f t="shared" si="0"/>
        <v>102002</v>
      </c>
      <c r="B7">
        <v>102</v>
      </c>
      <c r="C7">
        <v>2</v>
      </c>
      <c r="D7" t="s">
        <v>328</v>
      </c>
      <c r="E7" t="s">
        <v>331</v>
      </c>
      <c r="F7" t="s">
        <v>332</v>
      </c>
    </row>
    <row r="8" customFormat="1" spans="1:6">
      <c r="A8">
        <f t="shared" si="0"/>
        <v>103000</v>
      </c>
      <c r="B8">
        <v>103</v>
      </c>
      <c r="D8" t="s">
        <v>333</v>
      </c>
      <c r="E8" t="s">
        <v>334</v>
      </c>
      <c r="F8" t="s">
        <v>335</v>
      </c>
    </row>
    <row r="9" spans="1:6">
      <c r="A9">
        <f t="shared" si="0"/>
        <v>201002</v>
      </c>
      <c r="B9">
        <v>201</v>
      </c>
      <c r="C9" s="2">
        <v>2</v>
      </c>
      <c r="D9" t="s">
        <v>336</v>
      </c>
      <c r="E9" t="s">
        <v>337</v>
      </c>
      <c r="F9" t="s">
        <v>338</v>
      </c>
    </row>
    <row r="10" spans="1:6">
      <c r="A10">
        <f t="shared" si="0"/>
        <v>201003</v>
      </c>
      <c r="B10">
        <v>201</v>
      </c>
      <c r="C10" s="2">
        <v>3</v>
      </c>
      <c r="D10" t="s">
        <v>339</v>
      </c>
      <c r="E10" t="s">
        <v>337</v>
      </c>
      <c r="F10" t="s">
        <v>340</v>
      </c>
    </row>
    <row r="11" spans="1:6">
      <c r="A11">
        <f t="shared" si="0"/>
        <v>201004</v>
      </c>
      <c r="B11">
        <v>201</v>
      </c>
      <c r="C11" s="2">
        <v>4</v>
      </c>
      <c r="D11" t="s">
        <v>341</v>
      </c>
      <c r="E11" t="s">
        <v>337</v>
      </c>
      <c r="F11" t="s">
        <v>342</v>
      </c>
    </row>
    <row r="12" spans="1:6">
      <c r="A12">
        <f t="shared" si="0"/>
        <v>201005</v>
      </c>
      <c r="B12">
        <v>201</v>
      </c>
      <c r="C12" s="2">
        <v>5</v>
      </c>
      <c r="D12" t="s">
        <v>343</v>
      </c>
      <c r="E12" t="s">
        <v>337</v>
      </c>
      <c r="F12" t="s">
        <v>344</v>
      </c>
    </row>
    <row r="13" spans="1:6">
      <c r="A13">
        <f t="shared" si="0"/>
        <v>201006</v>
      </c>
      <c r="B13">
        <v>201</v>
      </c>
      <c r="C13" s="2">
        <v>6</v>
      </c>
      <c r="D13" t="s">
        <v>345</v>
      </c>
      <c r="E13" t="s">
        <v>337</v>
      </c>
      <c r="F13" t="s">
        <v>346</v>
      </c>
    </row>
    <row r="14" spans="1:6">
      <c r="A14">
        <f t="shared" si="0"/>
        <v>201007</v>
      </c>
      <c r="B14">
        <v>201</v>
      </c>
      <c r="C14" s="2">
        <v>7</v>
      </c>
      <c r="D14" t="s">
        <v>347</v>
      </c>
      <c r="E14" t="s">
        <v>337</v>
      </c>
      <c r="F14" t="s">
        <v>348</v>
      </c>
    </row>
    <row r="15" spans="1:6">
      <c r="A15">
        <f t="shared" si="0"/>
        <v>201008</v>
      </c>
      <c r="B15">
        <v>201</v>
      </c>
      <c r="C15" s="2">
        <v>8</v>
      </c>
      <c r="D15" t="s">
        <v>349</v>
      </c>
      <c r="E15" t="s">
        <v>337</v>
      </c>
      <c r="F15" t="s">
        <v>350</v>
      </c>
    </row>
    <row r="16" spans="1:6">
      <c r="A16">
        <f t="shared" si="0"/>
        <v>201009</v>
      </c>
      <c r="B16">
        <v>201</v>
      </c>
      <c r="C16" s="2">
        <v>9</v>
      </c>
      <c r="D16" t="s">
        <v>351</v>
      </c>
      <c r="E16" t="s">
        <v>337</v>
      </c>
      <c r="F16" t="s">
        <v>352</v>
      </c>
    </row>
    <row r="17" spans="1:6">
      <c r="A17">
        <f t="shared" si="0"/>
        <v>201010</v>
      </c>
      <c r="B17">
        <v>201</v>
      </c>
      <c r="C17" s="2">
        <v>10</v>
      </c>
      <c r="D17" t="s">
        <v>353</v>
      </c>
      <c r="E17" t="s">
        <v>337</v>
      </c>
      <c r="F17" t="s">
        <v>354</v>
      </c>
    </row>
    <row r="18" spans="1:6">
      <c r="A18" s="2">
        <f t="shared" si="0"/>
        <v>202001</v>
      </c>
      <c r="B18">
        <v>202</v>
      </c>
      <c r="C18" s="2">
        <v>1</v>
      </c>
      <c r="D18" t="s">
        <v>355</v>
      </c>
      <c r="E18" t="s">
        <v>356</v>
      </c>
      <c r="F18" t="s">
        <v>357</v>
      </c>
    </row>
    <row r="19" spans="1:6">
      <c r="A19" s="2">
        <f t="shared" si="0"/>
        <v>202002</v>
      </c>
      <c r="B19">
        <v>202</v>
      </c>
      <c r="C19" s="2">
        <v>2</v>
      </c>
      <c r="D19" t="s">
        <v>355</v>
      </c>
      <c r="E19" t="s">
        <v>358</v>
      </c>
      <c r="F19" t="s">
        <v>359</v>
      </c>
    </row>
    <row r="20" spans="1:6">
      <c r="A20" s="2">
        <f t="shared" si="0"/>
        <v>202003</v>
      </c>
      <c r="B20">
        <v>202</v>
      </c>
      <c r="C20" s="2">
        <v>3</v>
      </c>
      <c r="D20" t="s">
        <v>360</v>
      </c>
      <c r="E20" t="s">
        <v>361</v>
      </c>
      <c r="F20" t="s">
        <v>362</v>
      </c>
    </row>
    <row r="21" spans="1:6">
      <c r="A21" s="2">
        <f t="shared" si="0"/>
        <v>203001</v>
      </c>
      <c r="B21" s="2">
        <v>203</v>
      </c>
      <c r="C21">
        <v>1</v>
      </c>
      <c r="D21" t="s">
        <v>363</v>
      </c>
      <c r="E21" t="s">
        <v>364</v>
      </c>
      <c r="F21">
        <v>1</v>
      </c>
    </row>
    <row r="22" spans="1:6">
      <c r="A22" s="2">
        <f t="shared" si="0"/>
        <v>203002</v>
      </c>
      <c r="B22" s="2">
        <v>203</v>
      </c>
      <c r="C22" s="2">
        <v>2</v>
      </c>
      <c r="D22" t="s">
        <v>365</v>
      </c>
      <c r="E22" t="s">
        <v>366</v>
      </c>
      <c r="F22">
        <v>2</v>
      </c>
    </row>
    <row r="23" spans="1:6">
      <c r="A23" s="2">
        <f t="shared" si="0"/>
        <v>203003</v>
      </c>
      <c r="B23" s="2">
        <v>203</v>
      </c>
      <c r="C23" s="2">
        <v>3</v>
      </c>
      <c r="D23" t="s">
        <v>367</v>
      </c>
      <c r="E23" t="s">
        <v>368</v>
      </c>
      <c r="F23">
        <v>3</v>
      </c>
    </row>
    <row r="24" spans="1:6">
      <c r="A24" s="2">
        <f t="shared" si="0"/>
        <v>203004</v>
      </c>
      <c r="B24" s="2">
        <v>203</v>
      </c>
      <c r="C24" s="2">
        <v>4</v>
      </c>
      <c r="D24" t="s">
        <v>369</v>
      </c>
      <c r="E24" t="s">
        <v>370</v>
      </c>
      <c r="F24">
        <v>4</v>
      </c>
    </row>
    <row r="25" spans="1:6">
      <c r="A25" s="2">
        <f t="shared" si="0"/>
        <v>203005</v>
      </c>
      <c r="B25" s="2">
        <v>203</v>
      </c>
      <c r="C25" s="2">
        <v>5</v>
      </c>
      <c r="D25" t="s">
        <v>371</v>
      </c>
      <c r="E25" t="s">
        <v>372</v>
      </c>
      <c r="F25">
        <v>5</v>
      </c>
    </row>
    <row r="26" spans="1:6">
      <c r="A26" s="2">
        <f t="shared" si="0"/>
        <v>203006</v>
      </c>
      <c r="B26" s="2">
        <v>203</v>
      </c>
      <c r="C26" s="2">
        <v>6</v>
      </c>
      <c r="D26" t="s">
        <v>373</v>
      </c>
      <c r="E26" t="s">
        <v>374</v>
      </c>
      <c r="F26">
        <v>6</v>
      </c>
    </row>
    <row r="27" spans="1:6">
      <c r="A27" s="2">
        <f t="shared" si="0"/>
        <v>203007</v>
      </c>
      <c r="B27" s="2">
        <v>203</v>
      </c>
      <c r="C27" s="2">
        <v>7</v>
      </c>
      <c r="D27" t="s">
        <v>375</v>
      </c>
      <c r="E27" t="s">
        <v>376</v>
      </c>
      <c r="F27">
        <v>7</v>
      </c>
    </row>
    <row r="28" spans="1:6">
      <c r="A28" s="2">
        <f t="shared" si="0"/>
        <v>203008</v>
      </c>
      <c r="B28" s="2">
        <v>203</v>
      </c>
      <c r="C28" s="2">
        <v>8</v>
      </c>
      <c r="D28" t="s">
        <v>377</v>
      </c>
      <c r="E28" t="s">
        <v>378</v>
      </c>
      <c r="F28">
        <v>8</v>
      </c>
    </row>
    <row r="29" spans="1:6">
      <c r="A29" s="2">
        <f t="shared" si="0"/>
        <v>203009</v>
      </c>
      <c r="B29" s="2">
        <v>203</v>
      </c>
      <c r="C29" s="2">
        <v>9</v>
      </c>
      <c r="D29" t="s">
        <v>379</v>
      </c>
      <c r="E29" t="s">
        <v>380</v>
      </c>
      <c r="F29">
        <v>9</v>
      </c>
    </row>
    <row r="30" spans="1:6">
      <c r="A30" s="2">
        <f t="shared" si="0"/>
        <v>203010</v>
      </c>
      <c r="B30" s="2">
        <v>203</v>
      </c>
      <c r="C30" s="2">
        <v>10</v>
      </c>
      <c r="D30" t="s">
        <v>381</v>
      </c>
      <c r="E30" t="s">
        <v>382</v>
      </c>
      <c r="F30">
        <v>10</v>
      </c>
    </row>
    <row r="31" spans="1:6">
      <c r="A31" s="2">
        <f t="shared" si="0"/>
        <v>204002</v>
      </c>
      <c r="B31">
        <v>204</v>
      </c>
      <c r="C31" s="2">
        <v>2</v>
      </c>
      <c r="D31" t="s">
        <v>383</v>
      </c>
      <c r="E31" t="s">
        <v>384</v>
      </c>
      <c r="F31" t="s">
        <v>324</v>
      </c>
    </row>
    <row r="32" spans="1:6">
      <c r="A32" s="2">
        <f t="shared" si="0"/>
        <v>204003</v>
      </c>
      <c r="B32">
        <v>204</v>
      </c>
      <c r="C32" s="2">
        <v>3</v>
      </c>
      <c r="D32" t="s">
        <v>385</v>
      </c>
      <c r="E32" t="s">
        <v>386</v>
      </c>
      <c r="F32" t="s">
        <v>327</v>
      </c>
    </row>
    <row r="33" spans="1:6">
      <c r="A33" s="2">
        <f t="shared" si="0"/>
        <v>204004</v>
      </c>
      <c r="B33">
        <v>204</v>
      </c>
      <c r="C33" s="2">
        <v>4</v>
      </c>
      <c r="D33" t="s">
        <v>387</v>
      </c>
      <c r="E33" t="s">
        <v>388</v>
      </c>
      <c r="F33" t="s">
        <v>389</v>
      </c>
    </row>
    <row r="34" spans="1:6">
      <c r="A34" s="2">
        <f t="shared" si="0"/>
        <v>204005</v>
      </c>
      <c r="B34">
        <v>204</v>
      </c>
      <c r="C34" s="2">
        <v>5</v>
      </c>
      <c r="D34" t="s">
        <v>390</v>
      </c>
      <c r="E34" t="s">
        <v>391</v>
      </c>
      <c r="F34" t="s">
        <v>392</v>
      </c>
    </row>
    <row r="35" spans="1:6">
      <c r="A35" s="2">
        <f t="shared" si="0"/>
        <v>204006</v>
      </c>
      <c r="B35">
        <v>204</v>
      </c>
      <c r="C35" s="2">
        <v>6</v>
      </c>
      <c r="D35" t="s">
        <v>393</v>
      </c>
      <c r="E35" t="s">
        <v>394</v>
      </c>
      <c r="F35" t="s">
        <v>395</v>
      </c>
    </row>
    <row r="36" spans="1:6">
      <c r="A36" s="2">
        <f t="shared" si="0"/>
        <v>204007</v>
      </c>
      <c r="B36">
        <v>204</v>
      </c>
      <c r="C36" s="2">
        <v>7</v>
      </c>
      <c r="D36" t="s">
        <v>396</v>
      </c>
      <c r="E36" t="s">
        <v>397</v>
      </c>
      <c r="F36" t="s">
        <v>398</v>
      </c>
    </row>
    <row r="37" spans="1:6">
      <c r="A37" s="2">
        <f t="shared" si="0"/>
        <v>204008</v>
      </c>
      <c r="B37">
        <v>204</v>
      </c>
      <c r="C37" s="2">
        <v>8</v>
      </c>
      <c r="D37" t="s">
        <v>399</v>
      </c>
      <c r="E37" t="s">
        <v>400</v>
      </c>
      <c r="F37" t="s">
        <v>401</v>
      </c>
    </row>
    <row r="38" spans="1:6">
      <c r="A38" s="2">
        <f t="shared" si="0"/>
        <v>204009</v>
      </c>
      <c r="B38">
        <v>204</v>
      </c>
      <c r="C38" s="2">
        <v>9</v>
      </c>
      <c r="D38" t="s">
        <v>402</v>
      </c>
      <c r="E38" t="s">
        <v>403</v>
      </c>
      <c r="F38" t="s">
        <v>404</v>
      </c>
    </row>
    <row r="39" spans="1:6">
      <c r="A39" s="2">
        <f t="shared" si="0"/>
        <v>204010</v>
      </c>
      <c r="B39">
        <v>204</v>
      </c>
      <c r="C39" s="2">
        <v>10</v>
      </c>
      <c r="D39" t="s">
        <v>405</v>
      </c>
      <c r="E39" t="s">
        <v>406</v>
      </c>
      <c r="F39" t="s">
        <v>407</v>
      </c>
    </row>
    <row r="40" customFormat="1" spans="1:6">
      <c r="A40" s="2">
        <f t="shared" si="0"/>
        <v>301000</v>
      </c>
      <c r="B40">
        <v>301</v>
      </c>
      <c r="D40" t="s">
        <v>408</v>
      </c>
      <c r="E40" t="s">
        <v>409</v>
      </c>
    </row>
    <row r="41" customFormat="1" spans="1:6">
      <c r="A41" s="2">
        <f t="shared" si="0"/>
        <v>302000</v>
      </c>
      <c r="B41">
        <v>302</v>
      </c>
      <c r="D41" t="s">
        <v>283</v>
      </c>
      <c r="E41" t="s">
        <v>410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20" sqref="$A20:$XFD20"/>
    </sheetView>
  </sheetViews>
  <sheetFormatPr defaultColWidth="9" defaultRowHeight="13.5"/>
  <cols>
    <col min="4" max="4" width="33.125" customWidth="1"/>
    <col min="6" max="6" width="12.625" customWidth="1"/>
    <col min="9" max="9" width="12.625" customWidth="1"/>
    <col min="13" max="13" width="12.625" customWidth="1"/>
    <col min="14" max="14" width="23.75" customWidth="1"/>
    <col min="15" max="15" width="10.375" customWidth="1"/>
    <col min="16" max="16" width="11.5" customWidth="1"/>
    <col min="17" max="17" width="26" customWidth="1"/>
  </cols>
  <sheetData>
    <row r="1" spans="1:17">
      <c r="A1" t="s">
        <v>0</v>
      </c>
      <c r="B1" t="s">
        <v>2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  <c r="K1" t="s">
        <v>1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</row>
    <row r="2" spans="1:17">
      <c r="A2" t="s">
        <v>5</v>
      </c>
      <c r="B2" t="s">
        <v>6</v>
      </c>
      <c r="C2" t="s">
        <v>6</v>
      </c>
      <c r="D2" t="s">
        <v>6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6</v>
      </c>
      <c r="K2" t="s">
        <v>5</v>
      </c>
      <c r="L2" t="s">
        <v>5</v>
      </c>
      <c r="M2" t="s">
        <v>425</v>
      </c>
      <c r="N2" t="s">
        <v>426</v>
      </c>
      <c r="O2" t="s">
        <v>7</v>
      </c>
      <c r="P2" t="s">
        <v>7</v>
      </c>
      <c r="Q2" t="s">
        <v>427</v>
      </c>
    </row>
    <row r="3" spans="1:17">
      <c r="A3">
        <v>1000</v>
      </c>
      <c r="B3" t="s">
        <v>245</v>
      </c>
      <c r="C3" t="s">
        <v>335</v>
      </c>
      <c r="D3" t="s">
        <v>428</v>
      </c>
      <c r="E3">
        <v>1</v>
      </c>
      <c r="F3">
        <v>10000</v>
      </c>
      <c r="G3">
        <v>5000</v>
      </c>
      <c r="H3">
        <v>1000</v>
      </c>
      <c r="I3" t="s">
        <v>335</v>
      </c>
      <c r="J3" t="s">
        <v>335</v>
      </c>
      <c r="K3">
        <v>2</v>
      </c>
      <c r="L3">
        <v>1</v>
      </c>
      <c r="M3" t="s">
        <v>335</v>
      </c>
      <c r="N3" t="s">
        <v>429</v>
      </c>
      <c r="O3" t="s">
        <v>335</v>
      </c>
      <c r="P3" t="s">
        <v>335</v>
      </c>
      <c r="Q3" t="s">
        <v>335</v>
      </c>
    </row>
    <row r="4" spans="1:17">
      <c r="A4">
        <v>2000</v>
      </c>
      <c r="B4" t="s">
        <v>247</v>
      </c>
      <c r="C4" t="s">
        <v>335</v>
      </c>
      <c r="D4" t="s">
        <v>430</v>
      </c>
      <c r="E4">
        <v>1</v>
      </c>
      <c r="F4">
        <v>10000</v>
      </c>
      <c r="G4">
        <v>1000</v>
      </c>
      <c r="H4">
        <v>0</v>
      </c>
      <c r="I4" t="s">
        <v>335</v>
      </c>
      <c r="J4" t="s">
        <v>335</v>
      </c>
      <c r="K4">
        <v>2</v>
      </c>
      <c r="L4">
        <v>1</v>
      </c>
      <c r="M4" t="s">
        <v>335</v>
      </c>
      <c r="N4" t="s">
        <v>335</v>
      </c>
      <c r="O4" t="s">
        <v>335</v>
      </c>
      <c r="P4" t="s">
        <v>335</v>
      </c>
      <c r="Q4" t="s">
        <v>431</v>
      </c>
    </row>
    <row r="5" spans="1:17">
      <c r="A5">
        <f t="shared" ref="A5:A18" si="0">A4+1</f>
        <v>2001</v>
      </c>
      <c r="B5" t="s">
        <v>247</v>
      </c>
      <c r="C5" t="s">
        <v>335</v>
      </c>
      <c r="D5" t="s">
        <v>432</v>
      </c>
      <c r="E5">
        <v>1</v>
      </c>
      <c r="F5">
        <v>10000</v>
      </c>
      <c r="G5">
        <v>2000</v>
      </c>
      <c r="H5">
        <v>0</v>
      </c>
      <c r="I5" t="s">
        <v>335</v>
      </c>
      <c r="J5" t="s">
        <v>335</v>
      </c>
      <c r="K5">
        <v>2</v>
      </c>
      <c r="L5">
        <v>1</v>
      </c>
      <c r="M5" t="s">
        <v>335</v>
      </c>
      <c r="N5" t="s">
        <v>335</v>
      </c>
      <c r="O5" t="s">
        <v>335</v>
      </c>
      <c r="P5" t="s">
        <v>335</v>
      </c>
      <c r="Q5" t="s">
        <v>431</v>
      </c>
    </row>
    <row r="6" spans="1:17">
      <c r="A6">
        <f t="shared" si="0"/>
        <v>2002</v>
      </c>
      <c r="B6" t="s">
        <v>247</v>
      </c>
      <c r="C6" t="s">
        <v>335</v>
      </c>
      <c r="D6" t="s">
        <v>433</v>
      </c>
      <c r="E6">
        <v>1</v>
      </c>
      <c r="F6">
        <v>10000</v>
      </c>
      <c r="G6">
        <v>3000</v>
      </c>
      <c r="H6">
        <v>0</v>
      </c>
      <c r="I6" t="s">
        <v>335</v>
      </c>
      <c r="J6" t="s">
        <v>335</v>
      </c>
      <c r="K6">
        <v>2</v>
      </c>
      <c r="L6">
        <v>1</v>
      </c>
      <c r="M6" t="s">
        <v>335</v>
      </c>
      <c r="N6" t="s">
        <v>335</v>
      </c>
      <c r="O6" t="s">
        <v>335</v>
      </c>
      <c r="P6" t="s">
        <v>335</v>
      </c>
      <c r="Q6" t="s">
        <v>431</v>
      </c>
    </row>
    <row r="7" spans="1:17">
      <c r="A7">
        <f t="shared" si="0"/>
        <v>2003</v>
      </c>
      <c r="B7" t="s">
        <v>247</v>
      </c>
      <c r="C7" t="s">
        <v>335</v>
      </c>
      <c r="D7" t="s">
        <v>434</v>
      </c>
      <c r="E7">
        <v>1</v>
      </c>
      <c r="F7">
        <v>10000</v>
      </c>
      <c r="G7">
        <v>4000</v>
      </c>
      <c r="H7">
        <v>0</v>
      </c>
      <c r="I7" t="s">
        <v>335</v>
      </c>
      <c r="J7" t="s">
        <v>335</v>
      </c>
      <c r="K7">
        <v>2</v>
      </c>
      <c r="L7">
        <v>1</v>
      </c>
      <c r="M7" t="s">
        <v>335</v>
      </c>
      <c r="N7" t="s">
        <v>335</v>
      </c>
      <c r="O7" t="s">
        <v>335</v>
      </c>
      <c r="P7" t="s">
        <v>335</v>
      </c>
      <c r="Q7" t="s">
        <v>431</v>
      </c>
    </row>
    <row r="8" spans="1:17">
      <c r="A8">
        <f t="shared" si="0"/>
        <v>2004</v>
      </c>
      <c r="B8" t="s">
        <v>247</v>
      </c>
      <c r="C8" t="s">
        <v>335</v>
      </c>
      <c r="D8" t="s">
        <v>435</v>
      </c>
      <c r="E8">
        <v>1</v>
      </c>
      <c r="F8">
        <v>10000</v>
      </c>
      <c r="G8">
        <v>5000</v>
      </c>
      <c r="H8">
        <v>0</v>
      </c>
      <c r="I8" t="s">
        <v>335</v>
      </c>
      <c r="J8" t="s">
        <v>335</v>
      </c>
      <c r="K8">
        <v>2</v>
      </c>
      <c r="L8">
        <v>1</v>
      </c>
      <c r="M8" t="s">
        <v>335</v>
      </c>
      <c r="N8" t="s">
        <v>335</v>
      </c>
      <c r="O8" t="s">
        <v>335</v>
      </c>
      <c r="P8" t="s">
        <v>335</v>
      </c>
      <c r="Q8" t="s">
        <v>431</v>
      </c>
    </row>
    <row r="9" spans="1:17">
      <c r="A9">
        <f t="shared" si="0"/>
        <v>2005</v>
      </c>
      <c r="B9" t="s">
        <v>247</v>
      </c>
      <c r="C9" t="s">
        <v>335</v>
      </c>
      <c r="D9" t="s">
        <v>436</v>
      </c>
      <c r="E9">
        <v>1</v>
      </c>
      <c r="F9">
        <v>10000</v>
      </c>
      <c r="G9">
        <v>6000</v>
      </c>
      <c r="H9">
        <v>0</v>
      </c>
      <c r="I9" t="s">
        <v>335</v>
      </c>
      <c r="J9" t="s">
        <v>335</v>
      </c>
      <c r="K9">
        <v>2</v>
      </c>
      <c r="L9">
        <v>1</v>
      </c>
      <c r="M9" t="s">
        <v>335</v>
      </c>
      <c r="N9" t="s">
        <v>335</v>
      </c>
      <c r="O9" t="s">
        <v>335</v>
      </c>
      <c r="P9" t="s">
        <v>335</v>
      </c>
      <c r="Q9" t="s">
        <v>431</v>
      </c>
    </row>
    <row r="10" spans="1:17">
      <c r="A10">
        <f t="shared" si="0"/>
        <v>2006</v>
      </c>
      <c r="B10" t="s">
        <v>247</v>
      </c>
      <c r="C10" t="s">
        <v>335</v>
      </c>
      <c r="D10" t="s">
        <v>437</v>
      </c>
      <c r="E10">
        <v>1</v>
      </c>
      <c r="F10">
        <v>10000</v>
      </c>
      <c r="G10">
        <v>7000</v>
      </c>
      <c r="H10">
        <v>0</v>
      </c>
      <c r="I10" t="s">
        <v>335</v>
      </c>
      <c r="J10" t="s">
        <v>335</v>
      </c>
      <c r="K10">
        <v>2</v>
      </c>
      <c r="L10">
        <v>1</v>
      </c>
      <c r="M10" t="s">
        <v>335</v>
      </c>
      <c r="N10" t="s">
        <v>335</v>
      </c>
      <c r="O10" t="s">
        <v>335</v>
      </c>
      <c r="P10" t="s">
        <v>335</v>
      </c>
      <c r="Q10" t="s">
        <v>431</v>
      </c>
    </row>
    <row r="11" spans="1:17">
      <c r="A11">
        <f t="shared" si="0"/>
        <v>2007</v>
      </c>
      <c r="B11" t="s">
        <v>247</v>
      </c>
      <c r="C11" t="s">
        <v>335</v>
      </c>
      <c r="D11" t="s">
        <v>438</v>
      </c>
      <c r="E11">
        <v>1</v>
      </c>
      <c r="F11">
        <v>10000</v>
      </c>
      <c r="G11">
        <v>8000</v>
      </c>
      <c r="H11">
        <v>0</v>
      </c>
      <c r="I11" t="s">
        <v>335</v>
      </c>
      <c r="J11" t="s">
        <v>335</v>
      </c>
      <c r="K11">
        <v>2</v>
      </c>
      <c r="L11">
        <v>1</v>
      </c>
      <c r="M11" t="s">
        <v>335</v>
      </c>
      <c r="N11" t="s">
        <v>335</v>
      </c>
      <c r="O11" t="s">
        <v>335</v>
      </c>
      <c r="P11" t="s">
        <v>335</v>
      </c>
      <c r="Q11" t="s">
        <v>431</v>
      </c>
    </row>
    <row r="12" spans="1:17">
      <c r="A12">
        <f t="shared" si="0"/>
        <v>2008</v>
      </c>
      <c r="B12" t="s">
        <v>247</v>
      </c>
      <c r="C12" t="s">
        <v>335</v>
      </c>
      <c r="D12" t="s">
        <v>439</v>
      </c>
      <c r="E12">
        <v>1</v>
      </c>
      <c r="F12">
        <v>10000</v>
      </c>
      <c r="G12">
        <v>9000</v>
      </c>
      <c r="H12">
        <v>0</v>
      </c>
      <c r="I12" t="s">
        <v>335</v>
      </c>
      <c r="J12" t="s">
        <v>335</v>
      </c>
      <c r="K12">
        <v>2</v>
      </c>
      <c r="L12">
        <v>1</v>
      </c>
      <c r="M12" t="s">
        <v>335</v>
      </c>
      <c r="N12" t="s">
        <v>335</v>
      </c>
      <c r="O12" t="s">
        <v>335</v>
      </c>
      <c r="P12" t="s">
        <v>335</v>
      </c>
      <c r="Q12" t="s">
        <v>431</v>
      </c>
    </row>
    <row r="13" spans="1:17">
      <c r="A13">
        <f t="shared" si="0"/>
        <v>2009</v>
      </c>
      <c r="B13" t="s">
        <v>247</v>
      </c>
      <c r="C13" t="s">
        <v>335</v>
      </c>
      <c r="D13" t="s">
        <v>440</v>
      </c>
      <c r="E13">
        <v>1</v>
      </c>
      <c r="F13">
        <v>10000</v>
      </c>
      <c r="G13">
        <v>10000</v>
      </c>
      <c r="H13">
        <v>0</v>
      </c>
      <c r="I13" t="s">
        <v>335</v>
      </c>
      <c r="J13" t="s">
        <v>335</v>
      </c>
      <c r="K13">
        <v>2</v>
      </c>
      <c r="L13">
        <v>1</v>
      </c>
      <c r="M13" t="s">
        <v>335</v>
      </c>
      <c r="N13" t="s">
        <v>335</v>
      </c>
      <c r="O13" t="s">
        <v>335</v>
      </c>
      <c r="P13" t="s">
        <v>335</v>
      </c>
      <c r="Q13" t="s">
        <v>431</v>
      </c>
    </row>
    <row r="14" spans="1:17">
      <c r="A14">
        <f t="shared" si="0"/>
        <v>2010</v>
      </c>
      <c r="B14" t="s">
        <v>247</v>
      </c>
      <c r="C14" t="s">
        <v>335</v>
      </c>
      <c r="D14" t="s">
        <v>441</v>
      </c>
      <c r="E14">
        <v>1</v>
      </c>
      <c r="F14">
        <v>10000</v>
      </c>
      <c r="G14">
        <v>11000</v>
      </c>
      <c r="H14">
        <v>0</v>
      </c>
      <c r="I14" t="s">
        <v>335</v>
      </c>
      <c r="J14" t="s">
        <v>335</v>
      </c>
      <c r="K14">
        <v>2</v>
      </c>
      <c r="L14">
        <v>1</v>
      </c>
      <c r="M14" t="s">
        <v>335</v>
      </c>
      <c r="N14" t="s">
        <v>335</v>
      </c>
      <c r="O14" t="s">
        <v>335</v>
      </c>
      <c r="P14" t="s">
        <v>335</v>
      </c>
      <c r="Q14" t="s">
        <v>431</v>
      </c>
    </row>
    <row r="15" spans="1:17">
      <c r="A15">
        <f t="shared" si="0"/>
        <v>2011</v>
      </c>
      <c r="B15" t="s">
        <v>247</v>
      </c>
      <c r="C15" t="s">
        <v>335</v>
      </c>
      <c r="D15" t="s">
        <v>442</v>
      </c>
      <c r="E15">
        <v>1</v>
      </c>
      <c r="F15">
        <v>10000</v>
      </c>
      <c r="G15">
        <v>12000</v>
      </c>
      <c r="H15">
        <v>0</v>
      </c>
      <c r="I15" t="s">
        <v>335</v>
      </c>
      <c r="J15" t="s">
        <v>335</v>
      </c>
      <c r="K15">
        <v>2</v>
      </c>
      <c r="L15">
        <v>1</v>
      </c>
      <c r="M15" t="s">
        <v>335</v>
      </c>
      <c r="N15" t="s">
        <v>335</v>
      </c>
      <c r="O15" t="s">
        <v>335</v>
      </c>
      <c r="P15" t="s">
        <v>335</v>
      </c>
      <c r="Q15" t="s">
        <v>431</v>
      </c>
    </row>
    <row r="16" spans="1:17">
      <c r="A16">
        <f t="shared" si="0"/>
        <v>2012</v>
      </c>
      <c r="B16" t="s">
        <v>247</v>
      </c>
      <c r="C16" t="s">
        <v>335</v>
      </c>
      <c r="D16" t="s">
        <v>443</v>
      </c>
      <c r="E16">
        <v>1</v>
      </c>
      <c r="F16">
        <v>10000</v>
      </c>
      <c r="G16">
        <v>13000</v>
      </c>
      <c r="H16">
        <v>0</v>
      </c>
      <c r="I16" t="s">
        <v>335</v>
      </c>
      <c r="J16" t="s">
        <v>335</v>
      </c>
      <c r="K16">
        <v>2</v>
      </c>
      <c r="L16">
        <v>1</v>
      </c>
      <c r="M16" t="s">
        <v>335</v>
      </c>
      <c r="N16" t="s">
        <v>335</v>
      </c>
      <c r="O16" t="s">
        <v>335</v>
      </c>
      <c r="P16" t="s">
        <v>335</v>
      </c>
      <c r="Q16" t="s">
        <v>431</v>
      </c>
    </row>
    <row r="17" spans="1:17">
      <c r="A17">
        <f t="shared" si="0"/>
        <v>2013</v>
      </c>
      <c r="B17" t="s">
        <v>247</v>
      </c>
      <c r="C17" t="s">
        <v>335</v>
      </c>
      <c r="D17" t="s">
        <v>444</v>
      </c>
      <c r="E17">
        <v>1</v>
      </c>
      <c r="F17">
        <v>10000</v>
      </c>
      <c r="G17">
        <v>14000</v>
      </c>
      <c r="H17">
        <v>0</v>
      </c>
      <c r="I17" t="s">
        <v>335</v>
      </c>
      <c r="J17" t="s">
        <v>335</v>
      </c>
      <c r="K17">
        <v>2</v>
      </c>
      <c r="L17">
        <v>1</v>
      </c>
      <c r="M17" t="s">
        <v>335</v>
      </c>
      <c r="N17" t="s">
        <v>335</v>
      </c>
      <c r="O17" t="s">
        <v>335</v>
      </c>
      <c r="P17" t="s">
        <v>335</v>
      </c>
      <c r="Q17" t="s">
        <v>431</v>
      </c>
    </row>
    <row r="18" spans="1:17">
      <c r="A18">
        <f t="shared" si="0"/>
        <v>2014</v>
      </c>
      <c r="B18" t="s">
        <v>247</v>
      </c>
      <c r="C18" t="s">
        <v>335</v>
      </c>
      <c r="D18" t="s">
        <v>445</v>
      </c>
      <c r="E18">
        <v>1</v>
      </c>
      <c r="F18">
        <v>10000</v>
      </c>
      <c r="G18">
        <v>15000</v>
      </c>
      <c r="H18">
        <v>0</v>
      </c>
      <c r="I18" t="s">
        <v>335</v>
      </c>
      <c r="J18" t="s">
        <v>335</v>
      </c>
      <c r="K18">
        <v>2</v>
      </c>
      <c r="L18">
        <v>1</v>
      </c>
      <c r="M18" t="s">
        <v>335</v>
      </c>
      <c r="N18" t="s">
        <v>335</v>
      </c>
      <c r="O18" t="s">
        <v>335</v>
      </c>
      <c r="P18" t="s">
        <v>335</v>
      </c>
      <c r="Q18" t="s">
        <v>431</v>
      </c>
    </row>
    <row r="19" spans="1:17">
      <c r="A19">
        <v>3000</v>
      </c>
      <c r="B19" t="s">
        <v>446</v>
      </c>
      <c r="C19" t="s">
        <v>335</v>
      </c>
      <c r="D19" t="s">
        <v>447</v>
      </c>
      <c r="E19">
        <v>1</v>
      </c>
      <c r="F19">
        <v>10000</v>
      </c>
      <c r="G19">
        <v>3000</v>
      </c>
      <c r="H19">
        <v>0</v>
      </c>
      <c r="I19" t="s">
        <v>335</v>
      </c>
      <c r="J19" t="s">
        <v>335</v>
      </c>
      <c r="K19">
        <v>2</v>
      </c>
      <c r="L19">
        <v>1</v>
      </c>
      <c r="M19" t="s">
        <v>448</v>
      </c>
      <c r="N19" t="s">
        <v>335</v>
      </c>
      <c r="O19" t="s">
        <v>335</v>
      </c>
      <c r="P19" t="s">
        <v>335</v>
      </c>
      <c r="Q19" t="s">
        <v>335</v>
      </c>
    </row>
    <row r="20" spans="1:17">
      <c r="A20">
        <f>A19+1</f>
        <v>3001</v>
      </c>
      <c r="B20" t="s">
        <v>446</v>
      </c>
      <c r="C20" t="s">
        <v>335</v>
      </c>
      <c r="D20" t="s">
        <v>449</v>
      </c>
      <c r="E20">
        <v>1</v>
      </c>
      <c r="F20">
        <v>10000</v>
      </c>
      <c r="G20">
        <v>10000</v>
      </c>
      <c r="H20">
        <v>0</v>
      </c>
      <c r="I20" t="s">
        <v>335</v>
      </c>
      <c r="J20" t="s">
        <v>335</v>
      </c>
      <c r="K20">
        <v>2</v>
      </c>
      <c r="L20">
        <v>1</v>
      </c>
      <c r="M20" t="s">
        <v>450</v>
      </c>
      <c r="N20" t="s">
        <v>335</v>
      </c>
      <c r="O20" t="s">
        <v>335</v>
      </c>
      <c r="P20" t="s">
        <v>335</v>
      </c>
      <c r="Q20" t="s">
        <v>335</v>
      </c>
    </row>
    <row r="21" customFormat="1" spans="1:17">
      <c r="A21">
        <v>4000</v>
      </c>
      <c r="B21" t="s">
        <v>268</v>
      </c>
      <c r="C21" t="s">
        <v>335</v>
      </c>
      <c r="D21" t="s">
        <v>451</v>
      </c>
      <c r="E21">
        <v>1</v>
      </c>
      <c r="F21">
        <v>10000</v>
      </c>
      <c r="G21">
        <v>10000</v>
      </c>
      <c r="H21">
        <v>1000</v>
      </c>
      <c r="I21" t="s">
        <v>335</v>
      </c>
      <c r="J21" t="s">
        <v>335</v>
      </c>
      <c r="K21">
        <v>1</v>
      </c>
      <c r="L21">
        <v>0</v>
      </c>
      <c r="M21" t="s">
        <v>335</v>
      </c>
      <c r="O21">
        <v>10012</v>
      </c>
      <c r="P21" t="s">
        <v>335</v>
      </c>
      <c r="Q21" t="s">
        <v>335</v>
      </c>
    </row>
    <row r="22" customFormat="1" spans="1:17">
      <c r="A22">
        <v>5000</v>
      </c>
      <c r="B22" t="s">
        <v>270</v>
      </c>
      <c r="C22" t="s">
        <v>335</v>
      </c>
      <c r="D22" t="s">
        <v>452</v>
      </c>
      <c r="E22">
        <v>1</v>
      </c>
      <c r="F22">
        <v>10000</v>
      </c>
      <c r="G22">
        <v>10000</v>
      </c>
      <c r="H22">
        <v>0</v>
      </c>
      <c r="I22" t="s">
        <v>335</v>
      </c>
      <c r="J22" t="s">
        <v>335</v>
      </c>
      <c r="K22">
        <v>1</v>
      </c>
      <c r="L22">
        <v>0</v>
      </c>
      <c r="M22" t="s">
        <v>453</v>
      </c>
      <c r="N22" t="s">
        <v>335</v>
      </c>
      <c r="O22" t="s">
        <v>335</v>
      </c>
      <c r="P22" t="s">
        <v>335</v>
      </c>
    </row>
    <row r="23" spans="1:17">
      <c r="A23">
        <v>6000</v>
      </c>
      <c r="B23" t="s">
        <v>272</v>
      </c>
      <c r="C23" t="s">
        <v>335</v>
      </c>
      <c r="D23" t="s">
        <v>454</v>
      </c>
      <c r="E23">
        <v>1</v>
      </c>
      <c r="F23">
        <v>10000</v>
      </c>
      <c r="G23">
        <v>5000</v>
      </c>
      <c r="H23">
        <v>0</v>
      </c>
      <c r="I23" t="s">
        <v>335</v>
      </c>
      <c r="J23" t="s">
        <v>335</v>
      </c>
      <c r="K23">
        <v>2</v>
      </c>
      <c r="L23">
        <v>1</v>
      </c>
      <c r="M23" t="s">
        <v>455</v>
      </c>
      <c r="N23" t="s">
        <v>335</v>
      </c>
      <c r="O23" t="s">
        <v>335</v>
      </c>
      <c r="P23" t="s">
        <v>335</v>
      </c>
      <c r="Q23" t="s">
        <v>335</v>
      </c>
    </row>
    <row r="24" spans="1:17">
      <c r="A24">
        <v>6001</v>
      </c>
      <c r="B24" t="s">
        <v>272</v>
      </c>
      <c r="C24" t="s">
        <v>335</v>
      </c>
      <c r="D24" t="s">
        <v>456</v>
      </c>
      <c r="E24">
        <v>1</v>
      </c>
      <c r="F24">
        <v>10000</v>
      </c>
      <c r="G24">
        <v>10000</v>
      </c>
      <c r="H24">
        <v>0</v>
      </c>
      <c r="I24" t="s">
        <v>335</v>
      </c>
      <c r="J24" t="s">
        <v>335</v>
      </c>
      <c r="K24">
        <v>2</v>
      </c>
      <c r="L24">
        <v>1</v>
      </c>
      <c r="M24" t="s">
        <v>457</v>
      </c>
      <c r="N24" t="s">
        <v>335</v>
      </c>
      <c r="O24" t="s">
        <v>335</v>
      </c>
      <c r="P24" t="s">
        <v>335</v>
      </c>
      <c r="Q24" t="s">
        <v>335</v>
      </c>
    </row>
    <row r="25" spans="1:17">
      <c r="A25">
        <v>7000</v>
      </c>
      <c r="B25" t="s">
        <v>458</v>
      </c>
      <c r="C25" t="s">
        <v>335</v>
      </c>
      <c r="D25" t="s">
        <v>459</v>
      </c>
      <c r="E25">
        <v>1</v>
      </c>
      <c r="F25">
        <v>10000</v>
      </c>
      <c r="G25">
        <v>-1</v>
      </c>
      <c r="H25">
        <v>0</v>
      </c>
      <c r="I25" t="s">
        <v>335</v>
      </c>
      <c r="J25" t="s">
        <v>335</v>
      </c>
      <c r="K25">
        <v>1</v>
      </c>
      <c r="L25">
        <v>0</v>
      </c>
      <c r="M25" t="s">
        <v>335</v>
      </c>
      <c r="N25" t="s">
        <v>335</v>
      </c>
      <c r="O25" t="s">
        <v>335</v>
      </c>
      <c r="P25" t="s">
        <v>335</v>
      </c>
      <c r="Q25" t="s">
        <v>460</v>
      </c>
    </row>
    <row r="26" spans="1:17">
      <c r="A26">
        <f t="shared" ref="A26:A34" si="1">A25+1</f>
        <v>7001</v>
      </c>
      <c r="B26" t="s">
        <v>461</v>
      </c>
      <c r="C26" t="s">
        <v>335</v>
      </c>
      <c r="D26" t="s">
        <v>462</v>
      </c>
      <c r="E26">
        <v>1</v>
      </c>
      <c r="F26">
        <v>10000</v>
      </c>
      <c r="G26">
        <v>-1</v>
      </c>
      <c r="H26">
        <v>0</v>
      </c>
      <c r="I26" t="s">
        <v>335</v>
      </c>
      <c r="J26" t="s">
        <v>335</v>
      </c>
      <c r="K26">
        <v>1</v>
      </c>
      <c r="L26">
        <v>0</v>
      </c>
      <c r="M26" t="s">
        <v>335</v>
      </c>
      <c r="N26" t="s">
        <v>335</v>
      </c>
      <c r="O26" t="s">
        <v>335</v>
      </c>
      <c r="P26" t="s">
        <v>335</v>
      </c>
      <c r="Q26" t="s">
        <v>463</v>
      </c>
    </row>
    <row r="27" spans="1:17">
      <c r="A27">
        <f t="shared" si="1"/>
        <v>7002</v>
      </c>
      <c r="B27" t="s">
        <v>464</v>
      </c>
      <c r="C27" t="s">
        <v>335</v>
      </c>
      <c r="D27" t="s">
        <v>465</v>
      </c>
      <c r="E27">
        <v>1</v>
      </c>
      <c r="F27">
        <v>10000</v>
      </c>
      <c r="G27">
        <v>-1</v>
      </c>
      <c r="H27">
        <v>0</v>
      </c>
      <c r="I27" t="s">
        <v>335</v>
      </c>
      <c r="J27" t="s">
        <v>335</v>
      </c>
      <c r="K27">
        <v>1</v>
      </c>
      <c r="L27">
        <v>0</v>
      </c>
      <c r="M27" t="s">
        <v>335</v>
      </c>
      <c r="N27" t="s">
        <v>335</v>
      </c>
      <c r="O27" t="s">
        <v>335</v>
      </c>
      <c r="P27" t="s">
        <v>335</v>
      </c>
      <c r="Q27" t="s">
        <v>466</v>
      </c>
    </row>
    <row r="28" spans="1:17">
      <c r="A28">
        <f t="shared" si="1"/>
        <v>7003</v>
      </c>
      <c r="B28" t="s">
        <v>467</v>
      </c>
      <c r="C28" t="s">
        <v>335</v>
      </c>
      <c r="D28" t="s">
        <v>468</v>
      </c>
      <c r="E28">
        <v>1</v>
      </c>
      <c r="F28">
        <v>10000</v>
      </c>
      <c r="G28">
        <v>-1</v>
      </c>
      <c r="H28">
        <v>0</v>
      </c>
      <c r="I28" t="s">
        <v>335</v>
      </c>
      <c r="J28" t="s">
        <v>335</v>
      </c>
      <c r="K28">
        <v>1</v>
      </c>
      <c r="L28">
        <v>0</v>
      </c>
      <c r="M28" t="s">
        <v>335</v>
      </c>
      <c r="N28" t="s">
        <v>335</v>
      </c>
      <c r="O28" t="s">
        <v>335</v>
      </c>
      <c r="P28" t="s">
        <v>335</v>
      </c>
      <c r="Q28" t="s">
        <v>469</v>
      </c>
    </row>
    <row r="29" spans="1:17">
      <c r="A29">
        <f t="shared" si="1"/>
        <v>7004</v>
      </c>
      <c r="B29" t="s">
        <v>470</v>
      </c>
      <c r="C29" t="s">
        <v>335</v>
      </c>
      <c r="D29" t="s">
        <v>471</v>
      </c>
      <c r="E29">
        <v>1</v>
      </c>
      <c r="F29">
        <v>10000</v>
      </c>
      <c r="G29">
        <v>-1</v>
      </c>
      <c r="H29">
        <v>0</v>
      </c>
      <c r="I29" t="s">
        <v>335</v>
      </c>
      <c r="J29" t="s">
        <v>335</v>
      </c>
      <c r="K29">
        <v>1</v>
      </c>
      <c r="L29">
        <v>0</v>
      </c>
      <c r="M29" t="s">
        <v>335</v>
      </c>
      <c r="N29" t="s">
        <v>335</v>
      </c>
      <c r="O29" t="s">
        <v>335</v>
      </c>
      <c r="P29" t="s">
        <v>335</v>
      </c>
      <c r="Q29" t="s">
        <v>472</v>
      </c>
    </row>
    <row r="30" spans="1:17">
      <c r="A30">
        <f t="shared" si="1"/>
        <v>7005</v>
      </c>
      <c r="B30" t="s">
        <v>473</v>
      </c>
      <c r="C30" t="s">
        <v>335</v>
      </c>
      <c r="D30" t="s">
        <v>474</v>
      </c>
      <c r="E30">
        <v>1</v>
      </c>
      <c r="F30">
        <v>10000</v>
      </c>
      <c r="G30">
        <v>-1</v>
      </c>
      <c r="H30">
        <v>0</v>
      </c>
      <c r="I30" t="s">
        <v>335</v>
      </c>
      <c r="J30" t="s">
        <v>335</v>
      </c>
      <c r="K30">
        <v>1</v>
      </c>
      <c r="L30">
        <v>0</v>
      </c>
      <c r="M30" t="s">
        <v>335</v>
      </c>
      <c r="N30" t="s">
        <v>335</v>
      </c>
      <c r="O30" t="s">
        <v>335</v>
      </c>
      <c r="P30" t="s">
        <v>335</v>
      </c>
      <c r="Q30" t="s">
        <v>475</v>
      </c>
    </row>
    <row r="31" spans="1:17">
      <c r="A31">
        <f t="shared" si="1"/>
        <v>7006</v>
      </c>
      <c r="B31" t="s">
        <v>476</v>
      </c>
      <c r="C31" t="s">
        <v>335</v>
      </c>
      <c r="D31" t="s">
        <v>477</v>
      </c>
      <c r="E31">
        <v>1</v>
      </c>
      <c r="F31">
        <v>10000</v>
      </c>
      <c r="G31">
        <v>-1</v>
      </c>
      <c r="H31">
        <v>0</v>
      </c>
      <c r="I31" t="s">
        <v>335</v>
      </c>
      <c r="J31" t="s">
        <v>335</v>
      </c>
      <c r="K31">
        <v>1</v>
      </c>
      <c r="L31">
        <v>0</v>
      </c>
      <c r="M31" t="s">
        <v>335</v>
      </c>
      <c r="N31" t="s">
        <v>335</v>
      </c>
      <c r="O31" t="s">
        <v>335</v>
      </c>
      <c r="P31" t="s">
        <v>335</v>
      </c>
      <c r="Q31" t="s">
        <v>478</v>
      </c>
    </row>
    <row r="32" spans="1:17">
      <c r="A32">
        <f t="shared" si="1"/>
        <v>7007</v>
      </c>
      <c r="B32" t="s">
        <v>479</v>
      </c>
      <c r="C32" t="s">
        <v>335</v>
      </c>
      <c r="D32" t="s">
        <v>480</v>
      </c>
      <c r="E32">
        <v>1</v>
      </c>
      <c r="F32">
        <v>10000</v>
      </c>
      <c r="G32">
        <v>-1</v>
      </c>
      <c r="H32">
        <v>0</v>
      </c>
      <c r="I32" t="s">
        <v>335</v>
      </c>
      <c r="J32" t="s">
        <v>335</v>
      </c>
      <c r="K32">
        <v>1</v>
      </c>
      <c r="L32">
        <v>0</v>
      </c>
      <c r="M32" t="s">
        <v>335</v>
      </c>
      <c r="N32" t="s">
        <v>335</v>
      </c>
      <c r="O32" t="s">
        <v>335</v>
      </c>
      <c r="P32" t="s">
        <v>335</v>
      </c>
      <c r="Q32" t="s">
        <v>481</v>
      </c>
    </row>
    <row r="33" spans="1:17">
      <c r="A33">
        <f t="shared" si="1"/>
        <v>7008</v>
      </c>
      <c r="B33" t="s">
        <v>482</v>
      </c>
      <c r="C33" t="s">
        <v>335</v>
      </c>
      <c r="D33" t="s">
        <v>483</v>
      </c>
      <c r="E33">
        <v>1</v>
      </c>
      <c r="F33">
        <v>10000</v>
      </c>
      <c r="G33">
        <v>-1</v>
      </c>
      <c r="H33">
        <v>0</v>
      </c>
      <c r="I33" t="s">
        <v>335</v>
      </c>
      <c r="J33" t="s">
        <v>335</v>
      </c>
      <c r="K33">
        <v>1</v>
      </c>
      <c r="L33">
        <v>0</v>
      </c>
      <c r="M33" t="s">
        <v>335</v>
      </c>
      <c r="N33" t="s">
        <v>335</v>
      </c>
      <c r="O33" t="s">
        <v>335</v>
      </c>
      <c r="P33" t="s">
        <v>335</v>
      </c>
      <c r="Q33" t="s">
        <v>484</v>
      </c>
    </row>
    <row r="34" spans="1:17">
      <c r="A34">
        <f t="shared" si="1"/>
        <v>7009</v>
      </c>
      <c r="B34" t="s">
        <v>485</v>
      </c>
      <c r="C34" t="s">
        <v>335</v>
      </c>
      <c r="D34" t="s">
        <v>486</v>
      </c>
      <c r="E34">
        <v>1</v>
      </c>
      <c r="F34">
        <v>10000</v>
      </c>
      <c r="G34">
        <v>-1</v>
      </c>
      <c r="H34">
        <v>0</v>
      </c>
      <c r="I34" t="s">
        <v>335</v>
      </c>
      <c r="J34" t="s">
        <v>335</v>
      </c>
      <c r="K34">
        <v>1</v>
      </c>
      <c r="L34">
        <v>0</v>
      </c>
      <c r="M34" t="s">
        <v>335</v>
      </c>
      <c r="N34" t="s">
        <v>335</v>
      </c>
      <c r="O34" t="s">
        <v>335</v>
      </c>
      <c r="P34" t="s">
        <v>335</v>
      </c>
      <c r="Q34" t="s">
        <v>487</v>
      </c>
    </row>
    <row r="35" spans="1:17">
      <c r="A35">
        <v>8000</v>
      </c>
      <c r="B35" t="s">
        <v>488</v>
      </c>
      <c r="C35" t="s">
        <v>335</v>
      </c>
      <c r="D35" t="s">
        <v>489</v>
      </c>
      <c r="E35">
        <v>1</v>
      </c>
      <c r="F35">
        <v>10000</v>
      </c>
      <c r="G35">
        <v>-1</v>
      </c>
      <c r="H35">
        <v>0</v>
      </c>
      <c r="I35" t="s">
        <v>335</v>
      </c>
      <c r="J35" t="s">
        <v>335</v>
      </c>
      <c r="K35">
        <v>1</v>
      </c>
      <c r="L35">
        <v>0</v>
      </c>
      <c r="M35" t="s">
        <v>490</v>
      </c>
      <c r="N35" t="s">
        <v>335</v>
      </c>
      <c r="O35" t="s">
        <v>335</v>
      </c>
      <c r="P35" t="s">
        <v>335</v>
      </c>
      <c r="Q35" t="s">
        <v>335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E4" sqref="E4"/>
    </sheetView>
  </sheetViews>
  <sheetFormatPr defaultColWidth="9" defaultRowHeight="13.5" outlineLevelRow="2"/>
  <cols>
    <col min="5" max="7" width="12.625" customWidth="1"/>
    <col min="8" max="8" width="23.75" customWidth="1"/>
    <col min="9" max="10" width="7.375" customWidth="1"/>
    <col min="12" max="12" width="46.75" customWidth="1"/>
  </cols>
  <sheetData>
    <row r="1" spans="1:12">
      <c r="A1" t="s">
        <v>0</v>
      </c>
      <c r="B1" t="s">
        <v>2</v>
      </c>
      <c r="C1" t="s">
        <v>411</v>
      </c>
      <c r="D1" t="s">
        <v>3</v>
      </c>
      <c r="E1" t="s">
        <v>417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497</v>
      </c>
    </row>
    <row r="2" spans="1:12">
      <c r="A2" t="s">
        <v>5</v>
      </c>
      <c r="B2" t="s">
        <v>6</v>
      </c>
      <c r="C2" t="s">
        <v>6</v>
      </c>
      <c r="D2" t="s">
        <v>6</v>
      </c>
      <c r="E2" t="s">
        <v>5</v>
      </c>
      <c r="F2" t="s">
        <v>7</v>
      </c>
      <c r="G2" t="s">
        <v>7</v>
      </c>
      <c r="H2" t="s">
        <v>498</v>
      </c>
      <c r="I2" t="s">
        <v>5</v>
      </c>
      <c r="J2" t="s">
        <v>7</v>
      </c>
      <c r="K2" t="s">
        <v>7</v>
      </c>
      <c r="L2" t="s">
        <v>7</v>
      </c>
    </row>
    <row r="3" customFormat="1" spans="1:12">
      <c r="A3">
        <v>1001</v>
      </c>
      <c r="B3" t="s">
        <v>499</v>
      </c>
      <c r="D3" t="s">
        <v>500</v>
      </c>
      <c r="F3">
        <v>105</v>
      </c>
      <c r="G3">
        <v>1001</v>
      </c>
      <c r="I3">
        <v>10000</v>
      </c>
      <c r="K3">
        <v>1000401</v>
      </c>
      <c r="L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事件event_config</vt:lpstr>
      <vt:lpstr>子弹事件bullet_event_config</vt:lpstr>
      <vt:lpstr>持续buff_config</vt:lpstr>
      <vt:lpstr>被动passive_config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2026-04-15T02:48:46Z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0D6029B7D06340E283F69638E2B074E5_12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