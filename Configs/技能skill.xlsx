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 activeTab="1"/>
  </bookViews>
  <sheets>
    <sheet name="技能组skill_pool_config" sheetId="1" r:id="rId1"/>
    <sheet name="技能skill_confi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<sst xmlns="http://schemas.openxmlformats.org/spreadsheetml/2006/main" count="688" uniqueCount="145">
  <si>
    <t>id</t>
  </si>
  <si>
    <t>name</t>
  </si>
  <si>
    <t>des</t>
  </si>
  <si>
    <t>upDes</t>
  </si>
  <si>
    <t>levelDes</t>
  </si>
  <si>
    <t>icon</t>
  </si>
  <si>
    <t>dragHint</t>
  </si>
  <si>
    <t>int</t>
  </si>
  <si>
    <t>string</t>
  </si>
  <si>
    <t>{int level;string des}[]</t>
  </si>
  <si>
    <t>烈焰圣弹</t>
  </si>
  <si>
    <t>发射炽热的火焰弹，造成100%火伤</t>
  </si>
  <si>
    <t>提升10%火伤</t>
  </si>
  <si>
    <t>3~子弹变为散射4次|5~子弹变为散射8次|8~附加灼烧，每秒造成30%火伤，持续5秒|10~命中后会发生爆炸造成50%火伤</t>
  </si>
  <si>
    <t>Icon/commet-128</t>
  </si>
  <si>
    <t>松开发射弹幕</t>
  </si>
  <si>
    <t>治愈圣火</t>
  </si>
  <si>
    <t>信仰浓烈的火焰可以治愈身体，恢复相当于攻击力30%的血量</t>
  </si>
  <si>
    <t>恢复量提升5%</t>
  </si>
  <si>
    <t>3~额外恢复最大生命值的10%|5~额外恢复最大生命值的20%|8~附加持续恢复，每秒恢复相当于攻击力20%的生命值，持续10秒|10~附加50%减伤效果，持续10秒</t>
  </si>
  <si>
    <t>Icon/potion-pink-1-128</t>
  </si>
  <si>
    <t>松开施加效果</t>
  </si>
  <si>
    <t>急冻冰锥</t>
  </si>
  <si>
    <t>发射冰棱，使命中的敌人冰冻2秒，造成75%冰伤</t>
  </si>
  <si>
    <t>提升10%冰伤</t>
  </si>
  <si>
    <t>3~子弹变为散射五次|5~冰冻时间提升至5秒|8~子弹具有穿刺效果|10~冰冻时间提升至15秒，并且受到伤害提升30%</t>
  </si>
  <si>
    <t>Icon/skull-128</t>
  </si>
  <si>
    <t>松开发射冰锥</t>
  </si>
  <si>
    <t>能量泉源</t>
  </si>
  <si>
    <t>消耗生命源力换取先知之力，损失当前生命值的50%获得随机两个非满级技能的20点经验</t>
  </si>
  <si>
    <t>额外获得5点经验值</t>
  </si>
  <si>
    <t>3~损失生命值降为25%|5~为随机三个技能提供经验|8~不再损失生命值|10~为随机四个技能提供经验</t>
  </si>
  <si>
    <t>Icon/solar-system-1-128</t>
  </si>
  <si>
    <t>松开消耗生命</t>
  </si>
  <si>
    <t>闪电连锁</t>
  </si>
  <si>
    <t>发射一枚闪电，造成10%电伤，命中后弹射向另一名敌人，可以弹射5次，每次弹射伤害递减20%，最多递减至30%</t>
  </si>
  <si>
    <t>提升10%电伤</t>
  </si>
  <si>
    <t>3~造成减速50%，持续3秒|5~弹射次数提升至15次|8~弹射伤害不再衰减|10~命中产生雷暴造成10%电伤</t>
  </si>
  <si>
    <t>Icon/satellite-128</t>
  </si>
  <si>
    <t>松开发射闪电</t>
  </si>
  <si>
    <t>电磁盾牌</t>
  </si>
  <si>
    <t>生成一个电磁盾牌，自身附加最大生命值10%的护盾</t>
  </si>
  <si>
    <t>护盾值额外提升5%</t>
  </si>
  <si>
    <t>3~受到攻击时，反击散射3枚子弹，每个造成30%电伤|5~反击的子弹增加到10颗|8~反击的子弹具有穿透效果|10~护盾破裂时，对敌人造成击退，并且恢复自身已损失生命值的50%</t>
  </si>
  <si>
    <t>Icon/gem-2-128</t>
  </si>
  <si>
    <t>松开激活护盾</t>
  </si>
  <si>
    <t>超暴风</t>
  </si>
  <si>
    <t>召唤风暴，对所有敌人造成30%的风伤</t>
  </si>
  <si>
    <t>提升5%风伤</t>
  </si>
  <si>
    <t>3~造成击退效果|5~击退后造成30%减速，持续10秒|8~造成巨额击退效果|10~附加受到伤害增加50%，持续5秒</t>
  </si>
  <si>
    <t>Icon/black-hole-128</t>
  </si>
  <si>
    <t>松开释放风暴</t>
  </si>
  <si>
    <t>风影守卫</t>
  </si>
  <si>
    <t>召唤风影守卫帮助战斗，继承主角25%属性，持续5秒</t>
  </si>
  <si>
    <t>召唤物持续时间+1秒</t>
  </si>
  <si>
    <t>3~继承属性提升至50%|5~子弹效果变为追踪|8~子弹最多可以穿刺两个目标|10~额外召唤两个风影守卫</t>
  </si>
  <si>
    <t>Icon/alien-128</t>
  </si>
  <si>
    <t>松开召唤守卫</t>
  </si>
  <si>
    <t>poolId</t>
  </si>
  <si>
    <t>level</t>
  </si>
  <si>
    <t>category</t>
  </si>
  <si>
    <t>dmg</t>
  </si>
  <si>
    <t>dmgType</t>
  </si>
  <si>
    <t>bulletSpeed</t>
  </si>
  <si>
    <t>cd</t>
  </si>
  <si>
    <t>bulletStyleId</t>
  </si>
  <si>
    <t>attack_range</t>
  </si>
  <si>
    <t>events</t>
  </si>
  <si>
    <t>enemyEvents</t>
  </si>
  <si>
    <t>bulletEvents</t>
  </si>
  <si>
    <t>eventEffect</t>
  </si>
  <si>
    <t>float</t>
  </si>
  <si>
    <t>int[]</t>
  </si>
  <si>
    <t>剑气</t>
  </si>
  <si>
    <t/>
  </si>
  <si>
    <t>Projectile</t>
  </si>
  <si>
    <t>元素弹</t>
  </si>
  <si>
    <t>风弹</t>
  </si>
  <si>
    <t>追踪风弹</t>
  </si>
  <si>
    <t>追踪穿刺风弹</t>
  </si>
  <si>
    <t>103000|101002</t>
  </si>
  <si>
    <t>岩弹</t>
  </si>
  <si>
    <t>全屏反击</t>
  </si>
  <si>
    <t>Aoe</t>
  </si>
  <si>
    <t>暗影弹</t>
  </si>
  <si>
    <t>反击盾弹</t>
  </si>
  <si>
    <t>反击穿刺盾弹</t>
  </si>
  <si>
    <t>201010|101000</t>
  </si>
  <si>
    <t>201008|102001</t>
  </si>
  <si>
    <t>Self</t>
  </si>
  <si>
    <t>60001|10001</t>
  </si>
  <si>
    <t>60002|10002</t>
  </si>
  <si>
    <t>60003|10003|30001</t>
  </si>
  <si>
    <t>60004|10004|30001</t>
  </si>
  <si>
    <t>60005|10005|30003</t>
  </si>
  <si>
    <t>60006|10006|30003</t>
  </si>
  <si>
    <t>60007|10007|30003</t>
  </si>
  <si>
    <t>60008|10008|30003|70400</t>
  </si>
  <si>
    <t>60009|10009|30003|70400</t>
  </si>
  <si>
    <t>60010|10010|30003|70400|80001</t>
  </si>
  <si>
    <t>201005|101000</t>
  </si>
  <si>
    <t>201005|101000|70601</t>
  </si>
  <si>
    <t>60011|30011|50001</t>
  </si>
  <si>
    <t>60012|30011|50002</t>
  </si>
  <si>
    <t>60013|30012|50003</t>
  </si>
  <si>
    <t>60014|30012|50004</t>
  </si>
  <si>
    <t>60015|30012|50005</t>
  </si>
  <si>
    <t>60016|30012|50006</t>
  </si>
  <si>
    <t>60017|30012|50007</t>
  </si>
  <si>
    <t>60018|50008</t>
  </si>
  <si>
    <t>60019|50009</t>
  </si>
  <si>
    <t>60020|50010</t>
  </si>
  <si>
    <t>202003|102002</t>
  </si>
  <si>
    <t>Shield</t>
  </si>
  <si>
    <t>60021|20001</t>
  </si>
  <si>
    <t>60022|20002</t>
  </si>
  <si>
    <t>60023|20003|70702</t>
  </si>
  <si>
    <t>60024|20004|70702</t>
  </si>
  <si>
    <t>60025|20005|70709</t>
  </si>
  <si>
    <t>60026|20006|70709</t>
  </si>
  <si>
    <t>60027|20007|70709</t>
  </si>
  <si>
    <t>60028|20008|70709</t>
  </si>
  <si>
    <t>60029|20009|70709</t>
  </si>
  <si>
    <t>60030|20010|70709|80001</t>
  </si>
  <si>
    <t>40005|70301</t>
  </si>
  <si>
    <t>40010|70301</t>
  </si>
  <si>
    <t>60040|70600</t>
  </si>
  <si>
    <t>Summon</t>
  </si>
  <si>
    <t>60031|90001</t>
  </si>
  <si>
    <t>60032|90002</t>
  </si>
  <si>
    <t>60033|90003</t>
  </si>
  <si>
    <t>60034|90004</t>
  </si>
  <si>
    <t>60035|90005</t>
  </si>
  <si>
    <t>60036|90006</t>
  </si>
  <si>
    <t>60037|90007</t>
  </si>
  <si>
    <t>60038|90008</t>
  </si>
  <si>
    <t>60039|90009</t>
  </si>
  <si>
    <t>60040|90010</t>
  </si>
  <si>
    <t>过载弹 I</t>
  </si>
  <si>
    <t>连射5枚过载弹，每颗造成20%火伤</t>
  </si>
  <si>
    <t>过载弹 II</t>
  </si>
  <si>
    <t>连射10枚过载弹，每颗造成20%火伤</t>
  </si>
  <si>
    <t>过载弹 III</t>
  </si>
  <si>
    <t>连射10枚过载弹，每颗造成20%火伤，命中后发生2次散射</t>
  </si>
  <si>
    <t>203010|201002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</si>
</sst>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9" sqref="E9"/>
    </sheetView>
  </sheetViews>
  <sheetFormatPr defaultColWidth="9" defaultRowHeight="13.5" outlineLevelCol="6"/>
  <cols>
    <col min="1" max="2" width="9" style="3"/>
    <col min="3" max="3" width="32.75" style="3" customWidth="1"/>
    <col min="4" max="4" width="26" style="3" customWidth="1"/>
    <col min="5" max="5" width="42.5" style="3" customWidth="1"/>
    <col min="6" max="6" width="26" style="3" customWidth="1"/>
    <col min="7" max="7" width="12.875" style="3" customWidth="1"/>
    <col min="8" max="16384" width="9" style="3"/>
  </cols>
  <sheetData>
    <row r="1" spans="1: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>
      <c r="A2" s="3" t="s">
        <v>7</v>
      </c>
      <c r="B2" s="3" t="s">
        <v>8</v>
      </c>
      <c r="C2" s="3" t="s">
        <v>8</v>
      </c>
      <c r="D2" s="3" t="s">
        <v>8</v>
      </c>
      <c r="E2" s="3" t="s">
        <v>9</v>
      </c>
      <c r="F2" s="3" t="s">
        <v>8</v>
      </c>
      <c r="G2" s="3" t="s">
        <v>8</v>
      </c>
    </row>
    <row r="3" ht="40.5" spans="1:7">
      <c r="A3" s="3">
        <v>1001</v>
      </c>
      <c r="B3" s="3" t="s">
        <v>10</v>
      </c>
      <c r="C3" s="3" t="s">
        <v>11</v>
      </c>
      <c r="D3" s="3" t="s">
        <v>12</v>
      </c>
      <c r="E3" s="3" t="s">
        <v>13</v>
      </c>
      <c r="F3" s="3" t="s">
        <v>14</v>
      </c>
      <c r="G3" s="3" t="s">
        <v>15</v>
      </c>
    </row>
    <row r="4" ht="54" spans="1:7">
      <c r="A4" s="3">
        <v>1002</v>
      </c>
      <c r="B4" s="3" t="s">
        <v>16</v>
      </c>
      <c r="C4" s="3" t="s">
        <v>17</v>
      </c>
      <c r="D4" s="3" t="s">
        <v>18</v>
      </c>
      <c r="E4" s="3" t="s">
        <v>19</v>
      </c>
      <c r="F4" s="3" t="s">
        <v>20</v>
      </c>
      <c r="G4" s="3" t="s">
        <v>21</v>
      </c>
    </row>
    <row r="5" ht="40.5" spans="1:7">
      <c r="A5" s="3">
        <v>1003</v>
      </c>
      <c r="B5" s="3" t="s">
        <v>22</v>
      </c>
      <c r="C5" s="3" t="s">
        <v>23</v>
      </c>
      <c r="D5" s="3" t="s">
        <v>24</v>
      </c>
      <c r="E5" s="3" t="s">
        <v>25</v>
      </c>
      <c r="F5" s="3" t="s">
        <v>26</v>
      </c>
      <c r="G5" s="3" t="s">
        <v>27</v>
      </c>
    </row>
    <row r="6" ht="40.5" spans="1:7">
      <c r="A6" s="3">
        <v>1004</v>
      </c>
      <c r="B6" s="4" t="s">
        <v>28</v>
      </c>
      <c r="C6" s="3" t="s">
        <v>29</v>
      </c>
      <c r="D6" s="3" t="s">
        <v>30</v>
      </c>
      <c r="E6" s="3" t="s">
        <v>31</v>
      </c>
      <c r="F6" s="3" t="s">
        <v>32</v>
      </c>
      <c r="G6" s="3" t="s">
        <v>33</v>
      </c>
    </row>
    <row r="7" ht="40.5" spans="1:7">
      <c r="A7" s="3">
        <v>1005</v>
      </c>
      <c r="B7" s="3" t="s">
        <v>34</v>
      </c>
      <c r="C7" s="3" t="s">
        <v>35</v>
      </c>
      <c r="D7" s="3" t="s">
        <v>36</v>
      </c>
      <c r="E7" s="3" t="s">
        <v>37</v>
      </c>
      <c r="F7" s="3" t="s">
        <v>38</v>
      </c>
      <c r="G7" s="3" t="s">
        <v>39</v>
      </c>
    </row>
    <row r="8" ht="54" spans="1:7">
      <c r="A8" s="3">
        <v>1006</v>
      </c>
      <c r="B8" s="3" t="s">
        <v>40</v>
      </c>
      <c r="C8" s="3" t="s">
        <v>41</v>
      </c>
      <c r="D8" s="3" t="s">
        <v>42</v>
      </c>
      <c r="E8" s="3" t="s">
        <v>43</v>
      </c>
      <c r="F8" s="3" t="s">
        <v>44</v>
      </c>
      <c r="G8" s="3" t="s">
        <v>45</v>
      </c>
    </row>
    <row r="9" ht="40.5" spans="1:7">
      <c r="A9" s="3">
        <v>1007</v>
      </c>
      <c r="B9" s="3" t="s">
        <v>46</v>
      </c>
      <c r="C9" s="3" t="s">
        <v>47</v>
      </c>
      <c r="D9" s="3" t="s">
        <v>48</v>
      </c>
      <c r="E9" s="3" t="s">
        <v>49</v>
      </c>
      <c r="F9" s="3" t="s">
        <v>50</v>
      </c>
      <c r="G9" s="3" t="s">
        <v>51</v>
      </c>
    </row>
    <row r="10" ht="40.5" spans="1:7">
      <c r="A10" s="3">
        <v>1008</v>
      </c>
      <c r="B10" s="3" t="s">
        <v>52</v>
      </c>
      <c r="C10" s="3" t="s">
        <v>53</v>
      </c>
      <c r="D10" s="3" t="s">
        <v>54</v>
      </c>
      <c r="E10" s="3" t="s">
        <v>55</v>
      </c>
      <c r="F10" s="3" t="s">
        <v>56</v>
      </c>
      <c r="G10" s="3" t="s">
        <v>57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4"/>
  <sheetViews>
    <sheetView tabSelected="1" topLeftCell="A90" workbookViewId="0">
      <selection activeCell="G111" sqref="G111"/>
    </sheetView>
  </sheetViews>
  <sheetFormatPr defaultColWidth="9" defaultRowHeight="13.5"/>
  <cols>
    <col min="1" max="3" width="9" style="1"/>
    <col min="4" max="4" width="12.5" style="1" customWidth="1"/>
    <col min="5" max="5" width="30.625" style="1" customWidth="1"/>
    <col min="6" max="6" width="24.375" style="1" customWidth="1"/>
    <col min="7" max="7" width="11.5" style="1" customWidth="1"/>
    <col min="8" max="13" width="9" style="1"/>
    <col min="14" max="16" width="16" style="1" customWidth="1"/>
    <col min="17" max="17" width="12.625" style="1" customWidth="1"/>
    <col min="18" max="16384" width="9" style="1"/>
  </cols>
  <sheetData>
    <row r="1" ht="27" spans="1:17">
      <c r="A1" s="1" t="s">
        <v>0</v>
      </c>
      <c r="B1" s="1" t="s">
        <v>58</v>
      </c>
      <c r="C1" s="1" t="s">
        <v>59</v>
      </c>
      <c r="D1" s="1" t="s">
        <v>1</v>
      </c>
      <c r="E1" s="1" t="s">
        <v>2</v>
      </c>
      <c r="F1" s="1" t="s">
        <v>5</v>
      </c>
      <c r="G1" s="1" t="s">
        <v>60</v>
      </c>
      <c r="H1" s="1" t="s">
        <v>61</v>
      </c>
      <c r="I1" s="1" t="s">
        <v>62</v>
      </c>
      <c r="J1" s="1" t="s">
        <v>63</v>
      </c>
      <c r="K1" s="1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1" t="s">
        <v>69</v>
      </c>
      <c r="Q1" s="1" t="s">
        <v>70</v>
      </c>
    </row>
    <row r="2" spans="1:17">
      <c r="A2" s="1" t="s">
        <v>7</v>
      </c>
      <c r="B2" s="1" t="s">
        <v>7</v>
      </c>
      <c r="C2" s="1" t="s">
        <v>7</v>
      </c>
      <c r="D2" s="1" t="s">
        <v>8</v>
      </c>
      <c r="E2" s="1" t="s">
        <v>8</v>
      </c>
      <c r="F2" s="1" t="s">
        <v>8</v>
      </c>
      <c r="G2" s="1" t="s">
        <v>8</v>
      </c>
      <c r="H2" s="1" t="s">
        <v>7</v>
      </c>
      <c r="I2" s="1" t="s">
        <v>7</v>
      </c>
      <c r="J2" s="1" t="s">
        <v>71</v>
      </c>
      <c r="K2" s="1" t="s">
        <v>71</v>
      </c>
      <c r="L2" s="1" t="s">
        <v>7</v>
      </c>
      <c r="M2" s="1" t="s">
        <v>71</v>
      </c>
      <c r="N2" s="1" t="s">
        <v>72</v>
      </c>
      <c r="O2" s="1" t="s">
        <v>72</v>
      </c>
      <c r="P2" s="1" t="s">
        <v>72</v>
      </c>
      <c r="Q2" s="1" t="s">
        <v>7</v>
      </c>
    </row>
    <row r="3" spans="1:17">
      <c r="A3" s="2">
        <f t="shared" ref="A3:A66" si="0">B3*100+C3</f>
        <v>1000001</v>
      </c>
      <c r="B3" s="2">
        <v>10000</v>
      </c>
      <c r="C3" s="1">
        <v>1</v>
      </c>
      <c r="D3" s="1" t="s">
        <v>73</v>
      </c>
      <c r="E3" s="1" t="s">
        <v>74</v>
      </c>
      <c r="F3" s="1" t="s">
        <v>74</v>
      </c>
      <c r="G3" s="1" t="s">
        <v>75</v>
      </c>
      <c r="H3" s="1">
        <v>10000</v>
      </c>
      <c r="I3" s="1">
        <v>0</v>
      </c>
      <c r="J3" s="1">
        <v>10</v>
      </c>
      <c r="K3" s="1">
        <v>0</v>
      </c>
      <c r="L3" s="1">
        <v>1</v>
      </c>
      <c r="M3" s="1">
        <v>10</v>
      </c>
      <c r="N3" s="1" t="s">
        <v>74</v>
      </c>
      <c r="O3" s="1" t="s">
        <v>74</v>
      </c>
      <c r="P3" s="1">
        <v>204010</v>
      </c>
      <c r="Q3" s="1" t="s">
        <v>74</v>
      </c>
    </row>
    <row r="4" spans="1:17">
      <c r="A4" s="2">
        <f t="shared" si="0"/>
        <v>1000101</v>
      </c>
      <c r="B4" s="2">
        <v>10001</v>
      </c>
      <c r="C4" s="1">
        <v>1</v>
      </c>
      <c r="D4" s="1" t="s">
        <v>76</v>
      </c>
      <c r="E4" s="1" t="s">
        <v>74</v>
      </c>
      <c r="F4" s="1" t="s">
        <v>74</v>
      </c>
      <c r="G4" s="1" t="s">
        <v>75</v>
      </c>
      <c r="H4" s="1">
        <v>10000</v>
      </c>
      <c r="I4" s="1">
        <v>0</v>
      </c>
      <c r="J4" s="1">
        <v>10</v>
      </c>
      <c r="K4" s="1">
        <v>0</v>
      </c>
      <c r="L4" s="1">
        <v>1</v>
      </c>
      <c r="M4" s="1">
        <v>50</v>
      </c>
      <c r="N4" s="1" t="s">
        <v>74</v>
      </c>
      <c r="O4" s="1" t="s">
        <v>74</v>
      </c>
      <c r="P4" s="1" t="s">
        <v>74</v>
      </c>
      <c r="Q4" s="1" t="s">
        <v>74</v>
      </c>
    </row>
    <row r="5" spans="1:17">
      <c r="A5" s="2">
        <f t="shared" si="0"/>
        <v>1000201</v>
      </c>
      <c r="B5" s="2">
        <v>10002</v>
      </c>
      <c r="C5" s="1">
        <v>1</v>
      </c>
      <c r="D5" s="1" t="s">
        <v>77</v>
      </c>
      <c r="E5" s="1" t="s">
        <v>74</v>
      </c>
      <c r="F5" s="1" t="s">
        <v>74</v>
      </c>
      <c r="G5" s="1" t="s">
        <v>75</v>
      </c>
      <c r="H5" s="1">
        <v>10000</v>
      </c>
      <c r="I5" s="1">
        <v>0</v>
      </c>
      <c r="J5" s="1">
        <v>10</v>
      </c>
      <c r="K5" s="1">
        <v>0</v>
      </c>
      <c r="L5" s="1">
        <v>1</v>
      </c>
      <c r="M5" s="1">
        <v>50</v>
      </c>
      <c r="N5" s="1" t="s">
        <v>74</v>
      </c>
      <c r="O5" s="1" t="s">
        <v>74</v>
      </c>
      <c r="P5" s="1" t="s">
        <v>74</v>
      </c>
      <c r="Q5" s="1" t="s">
        <v>74</v>
      </c>
    </row>
    <row r="6" spans="1:17">
      <c r="A6" s="2">
        <f t="shared" si="0"/>
        <v>1000202</v>
      </c>
      <c r="B6" s="2">
        <v>10002</v>
      </c>
      <c r="C6" s="1">
        <v>2</v>
      </c>
      <c r="D6" s="1" t="s">
        <v>78</v>
      </c>
      <c r="F6" s="1" t="s">
        <v>74</v>
      </c>
      <c r="G6" s="1" t="s">
        <v>75</v>
      </c>
      <c r="H6" s="1">
        <v>10000</v>
      </c>
      <c r="I6" s="1">
        <v>0</v>
      </c>
      <c r="J6" s="1">
        <v>10</v>
      </c>
      <c r="K6" s="1">
        <v>0</v>
      </c>
      <c r="L6" s="1">
        <v>1</v>
      </c>
      <c r="M6" s="1">
        <v>50</v>
      </c>
      <c r="N6" s="1" t="s">
        <v>74</v>
      </c>
      <c r="O6" s="1" t="s">
        <v>74</v>
      </c>
      <c r="P6" s="1">
        <v>103000</v>
      </c>
      <c r="Q6" s="1" t="s">
        <v>74</v>
      </c>
    </row>
    <row r="7" spans="1:17">
      <c r="A7" s="2">
        <f t="shared" si="0"/>
        <v>1000203</v>
      </c>
      <c r="B7" s="2">
        <v>10002</v>
      </c>
      <c r="C7" s="1">
        <v>3</v>
      </c>
      <c r="D7" s="1" t="s">
        <v>79</v>
      </c>
      <c r="F7" s="1" t="s">
        <v>74</v>
      </c>
      <c r="G7" s="1" t="s">
        <v>75</v>
      </c>
      <c r="H7" s="1">
        <v>10000</v>
      </c>
      <c r="I7" s="1">
        <v>0</v>
      </c>
      <c r="J7" s="1">
        <v>10</v>
      </c>
      <c r="K7" s="1">
        <v>0</v>
      </c>
      <c r="L7" s="1">
        <v>1</v>
      </c>
      <c r="M7" s="1">
        <v>50</v>
      </c>
      <c r="N7" s="1" t="s">
        <v>74</v>
      </c>
      <c r="O7" s="1" t="s">
        <v>74</v>
      </c>
      <c r="P7" s="1" t="s">
        <v>80</v>
      </c>
      <c r="Q7" s="1" t="s">
        <v>74</v>
      </c>
    </row>
    <row r="8" spans="1:17">
      <c r="A8" s="2">
        <f t="shared" si="0"/>
        <v>1000301</v>
      </c>
      <c r="B8" s="2">
        <v>10003</v>
      </c>
      <c r="C8" s="1">
        <v>1</v>
      </c>
      <c r="D8" s="1" t="s">
        <v>81</v>
      </c>
      <c r="E8" s="1" t="s">
        <v>74</v>
      </c>
      <c r="F8" s="1" t="s">
        <v>74</v>
      </c>
      <c r="G8" s="1" t="s">
        <v>75</v>
      </c>
      <c r="H8" s="1">
        <v>10000</v>
      </c>
      <c r="I8" s="1">
        <v>0</v>
      </c>
      <c r="J8" s="1">
        <v>10</v>
      </c>
      <c r="K8" s="1">
        <v>0</v>
      </c>
      <c r="L8" s="1">
        <v>1</v>
      </c>
      <c r="M8" s="1">
        <v>50</v>
      </c>
      <c r="N8" s="1" t="s">
        <v>74</v>
      </c>
      <c r="O8" s="1" t="s">
        <v>74</v>
      </c>
      <c r="P8" s="1" t="s">
        <v>74</v>
      </c>
      <c r="Q8" s="1" t="s">
        <v>74</v>
      </c>
    </row>
    <row r="9" spans="1:17">
      <c r="A9" s="2">
        <f t="shared" si="0"/>
        <v>1000401</v>
      </c>
      <c r="B9" s="2">
        <v>10004</v>
      </c>
      <c r="C9" s="1">
        <v>1</v>
      </c>
      <c r="D9" s="1" t="s">
        <v>82</v>
      </c>
      <c r="G9" s="1" t="s">
        <v>83</v>
      </c>
      <c r="H9" s="1">
        <v>3000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110001</v>
      </c>
      <c r="O9" s="1">
        <v>40003</v>
      </c>
      <c r="P9" s="1" t="s">
        <v>74</v>
      </c>
      <c r="Q9" s="1" t="s">
        <v>74</v>
      </c>
    </row>
    <row r="10" spans="1:17">
      <c r="A10" s="2">
        <f t="shared" si="0"/>
        <v>2000001</v>
      </c>
      <c r="B10" s="1">
        <v>20000</v>
      </c>
      <c r="C10" s="1">
        <v>1</v>
      </c>
      <c r="D10" s="1" t="s">
        <v>84</v>
      </c>
      <c r="E10" s="1" t="s">
        <v>74</v>
      </c>
      <c r="F10" s="1" t="s">
        <v>74</v>
      </c>
      <c r="G10" s="1" t="s">
        <v>75</v>
      </c>
      <c r="H10" s="1">
        <v>10000</v>
      </c>
      <c r="I10" s="1">
        <v>0</v>
      </c>
      <c r="J10" s="1">
        <v>8</v>
      </c>
      <c r="K10" s="1">
        <v>0.8</v>
      </c>
      <c r="L10" s="1">
        <v>201</v>
      </c>
      <c r="M10" s="1">
        <v>15</v>
      </c>
      <c r="N10" s="1" t="s">
        <v>74</v>
      </c>
      <c r="O10" s="1" t="s">
        <v>74</v>
      </c>
      <c r="P10" s="1" t="s">
        <v>74</v>
      </c>
      <c r="Q10" s="1" t="s">
        <v>74</v>
      </c>
    </row>
    <row r="11" spans="1:17">
      <c r="A11" s="2">
        <f t="shared" si="0"/>
        <v>1006101</v>
      </c>
      <c r="B11" s="2">
        <v>10061</v>
      </c>
      <c r="C11" s="1">
        <v>1</v>
      </c>
      <c r="D11" s="1" t="s">
        <v>85</v>
      </c>
      <c r="E11" s="1" t="s">
        <v>74</v>
      </c>
      <c r="F11" s="1" t="s">
        <v>74</v>
      </c>
      <c r="G11" s="1" t="s">
        <v>75</v>
      </c>
      <c r="H11" s="1">
        <v>3000</v>
      </c>
      <c r="I11" s="1">
        <v>0</v>
      </c>
      <c r="J11" s="1">
        <v>10</v>
      </c>
      <c r="K11" s="1">
        <v>0</v>
      </c>
      <c r="L11" s="1">
        <v>1</v>
      </c>
      <c r="M11" s="1">
        <v>50</v>
      </c>
      <c r="N11" s="1" t="s">
        <v>74</v>
      </c>
      <c r="O11" s="1" t="s">
        <v>74</v>
      </c>
      <c r="P11" s="1">
        <v>201003</v>
      </c>
      <c r="Q11" s="1" t="s">
        <v>74</v>
      </c>
    </row>
    <row r="12" spans="1:17">
      <c r="A12" s="2">
        <f t="shared" si="0"/>
        <v>1006102</v>
      </c>
      <c r="B12" s="2">
        <v>10061</v>
      </c>
      <c r="C12" s="1">
        <v>2</v>
      </c>
      <c r="D12" s="1" t="s">
        <v>85</v>
      </c>
      <c r="E12" s="1" t="s">
        <v>74</v>
      </c>
      <c r="F12" s="1" t="s">
        <v>74</v>
      </c>
      <c r="G12" s="1" t="s">
        <v>75</v>
      </c>
      <c r="H12" s="1">
        <v>3000</v>
      </c>
      <c r="I12" s="1">
        <v>0</v>
      </c>
      <c r="J12" s="1">
        <v>10</v>
      </c>
      <c r="K12" s="1">
        <v>0</v>
      </c>
      <c r="L12" s="1">
        <v>1</v>
      </c>
      <c r="M12" s="1">
        <v>50</v>
      </c>
      <c r="N12" s="1" t="s">
        <v>74</v>
      </c>
      <c r="O12" s="1" t="s">
        <v>74</v>
      </c>
      <c r="P12" s="1">
        <v>201010</v>
      </c>
      <c r="Q12" s="1" t="s">
        <v>74</v>
      </c>
    </row>
    <row r="13" spans="1:17">
      <c r="A13" s="2">
        <f t="shared" si="0"/>
        <v>1006103</v>
      </c>
      <c r="B13" s="2">
        <v>10061</v>
      </c>
      <c r="C13" s="1">
        <v>3</v>
      </c>
      <c r="D13" s="1" t="s">
        <v>86</v>
      </c>
      <c r="E13" s="1" t="s">
        <v>74</v>
      </c>
      <c r="F13" s="1" t="s">
        <v>74</v>
      </c>
      <c r="G13" s="1" t="s">
        <v>75</v>
      </c>
      <c r="H13" s="1">
        <v>3000</v>
      </c>
      <c r="I13" s="1">
        <v>0</v>
      </c>
      <c r="J13" s="1">
        <v>10</v>
      </c>
      <c r="K13" s="1">
        <v>0</v>
      </c>
      <c r="L13" s="1">
        <v>1</v>
      </c>
      <c r="M13" s="1">
        <v>50</v>
      </c>
      <c r="N13" s="1" t="s">
        <v>74</v>
      </c>
      <c r="O13" s="1" t="s">
        <v>74</v>
      </c>
      <c r="P13" s="1" t="s">
        <v>87</v>
      </c>
      <c r="Q13" s="1" t="s">
        <v>74</v>
      </c>
    </row>
    <row r="14" spans="1:17">
      <c r="A14" s="2">
        <f t="shared" si="0"/>
        <v>100100</v>
      </c>
      <c r="B14" s="2">
        <v>1001</v>
      </c>
      <c r="C14" s="1">
        <v>0</v>
      </c>
      <c r="D14" s="1" t="s">
        <v>10</v>
      </c>
      <c r="E14" s="1" t="s">
        <v>74</v>
      </c>
      <c r="F14" s="1" t="s">
        <v>14</v>
      </c>
      <c r="G14" s="1" t="s">
        <v>75</v>
      </c>
      <c r="H14" s="1">
        <v>0</v>
      </c>
      <c r="I14" s="1">
        <v>1</v>
      </c>
      <c r="J14" s="1">
        <v>0</v>
      </c>
      <c r="K14" s="1">
        <v>0</v>
      </c>
      <c r="L14" s="1">
        <v>101</v>
      </c>
      <c r="M14" s="1">
        <v>30</v>
      </c>
      <c r="N14" s="1" t="s">
        <v>74</v>
      </c>
      <c r="O14" s="1" t="s">
        <v>74</v>
      </c>
      <c r="P14" s="1" t="s">
        <v>74</v>
      </c>
      <c r="Q14" s="1" t="s">
        <v>74</v>
      </c>
    </row>
    <row r="15" spans="1:17">
      <c r="A15" s="2">
        <f t="shared" si="0"/>
        <v>100101</v>
      </c>
      <c r="B15" s="2">
        <f t="shared" ref="B15:B24" si="1">B14</f>
        <v>1001</v>
      </c>
      <c r="C15" s="1">
        <v>1</v>
      </c>
      <c r="D15" s="1" t="s">
        <v>10</v>
      </c>
      <c r="E15" s="1" t="s">
        <v>74</v>
      </c>
      <c r="F15" s="1" t="s">
        <v>14</v>
      </c>
      <c r="G15" s="1" t="s">
        <v>75</v>
      </c>
      <c r="H15" s="1">
        <v>10000</v>
      </c>
      <c r="I15" s="1">
        <v>1</v>
      </c>
      <c r="J15" s="1">
        <v>12</v>
      </c>
      <c r="K15" s="1">
        <v>3</v>
      </c>
      <c r="L15" s="1">
        <v>101</v>
      </c>
      <c r="M15" s="1">
        <v>30</v>
      </c>
      <c r="N15" s="1">
        <v>60001</v>
      </c>
      <c r="O15" s="1" t="s">
        <v>74</v>
      </c>
      <c r="P15" s="1" t="s">
        <v>74</v>
      </c>
      <c r="Q15" s="1" t="s">
        <v>74</v>
      </c>
    </row>
    <row r="16" spans="1:17">
      <c r="A16" s="2">
        <f t="shared" si="0"/>
        <v>100102</v>
      </c>
      <c r="B16" s="2">
        <f t="shared" si="1"/>
        <v>1001</v>
      </c>
      <c r="C16" s="1">
        <v>2</v>
      </c>
      <c r="D16" s="1" t="s">
        <v>10</v>
      </c>
      <c r="E16" s="1" t="s">
        <v>74</v>
      </c>
      <c r="F16" s="1" t="s">
        <v>14</v>
      </c>
      <c r="G16" s="1" t="s">
        <v>75</v>
      </c>
      <c r="H16" s="1">
        <v>11000</v>
      </c>
      <c r="I16" s="1">
        <v>1</v>
      </c>
      <c r="J16" s="1">
        <v>12</v>
      </c>
      <c r="K16" s="1">
        <v>3</v>
      </c>
      <c r="L16" s="1">
        <v>101</v>
      </c>
      <c r="M16" s="1">
        <v>30</v>
      </c>
      <c r="N16" s="1">
        <v>60002</v>
      </c>
      <c r="O16" s="1" t="s">
        <v>74</v>
      </c>
      <c r="Q16" s="1" t="s">
        <v>74</v>
      </c>
    </row>
    <row r="17" spans="1:17">
      <c r="A17" s="2">
        <f t="shared" si="0"/>
        <v>100103</v>
      </c>
      <c r="B17" s="2">
        <f t="shared" si="1"/>
        <v>1001</v>
      </c>
      <c r="C17" s="1">
        <v>3</v>
      </c>
      <c r="D17" s="1" t="s">
        <v>10</v>
      </c>
      <c r="E17" s="1" t="s">
        <v>74</v>
      </c>
      <c r="F17" s="1" t="s">
        <v>14</v>
      </c>
      <c r="G17" s="1" t="s">
        <v>75</v>
      </c>
      <c r="H17" s="1">
        <v>12000</v>
      </c>
      <c r="I17" s="1">
        <v>1</v>
      </c>
      <c r="J17" s="1">
        <v>12</v>
      </c>
      <c r="K17" s="1">
        <v>3</v>
      </c>
      <c r="L17" s="1">
        <v>101</v>
      </c>
      <c r="M17" s="1">
        <v>30</v>
      </c>
      <c r="N17" s="1">
        <v>60003</v>
      </c>
      <c r="O17" s="1" t="s">
        <v>74</v>
      </c>
      <c r="P17" s="1">
        <v>201004</v>
      </c>
      <c r="Q17" s="1" t="s">
        <v>74</v>
      </c>
    </row>
    <row r="18" spans="1:17">
      <c r="A18" s="2">
        <f t="shared" si="0"/>
        <v>100104</v>
      </c>
      <c r="B18" s="2">
        <f t="shared" si="1"/>
        <v>1001</v>
      </c>
      <c r="C18" s="1">
        <v>4</v>
      </c>
      <c r="D18" s="1" t="s">
        <v>10</v>
      </c>
      <c r="E18" s="1" t="s">
        <v>74</v>
      </c>
      <c r="F18" s="1" t="s">
        <v>14</v>
      </c>
      <c r="G18" s="1" t="s">
        <v>75</v>
      </c>
      <c r="H18" s="1">
        <v>13000</v>
      </c>
      <c r="I18" s="1">
        <v>1</v>
      </c>
      <c r="J18" s="1">
        <v>12</v>
      </c>
      <c r="K18" s="1">
        <v>3</v>
      </c>
      <c r="L18" s="1">
        <v>101</v>
      </c>
      <c r="M18" s="1">
        <v>30</v>
      </c>
      <c r="N18" s="1">
        <v>60004</v>
      </c>
      <c r="O18" s="1" t="s">
        <v>74</v>
      </c>
      <c r="P18" s="1">
        <v>201004</v>
      </c>
      <c r="Q18" s="1" t="s">
        <v>74</v>
      </c>
    </row>
    <row r="19" spans="1:17">
      <c r="A19" s="2">
        <f t="shared" si="0"/>
        <v>100105</v>
      </c>
      <c r="B19" s="2">
        <f t="shared" si="1"/>
        <v>1001</v>
      </c>
      <c r="C19" s="1">
        <v>5</v>
      </c>
      <c r="D19" s="1" t="s">
        <v>10</v>
      </c>
      <c r="E19" s="1" t="s">
        <v>74</v>
      </c>
      <c r="F19" s="1" t="s">
        <v>14</v>
      </c>
      <c r="G19" s="1" t="s">
        <v>75</v>
      </c>
      <c r="H19" s="1">
        <v>14000</v>
      </c>
      <c r="I19" s="1">
        <v>1</v>
      </c>
      <c r="J19" s="1">
        <v>12</v>
      </c>
      <c r="K19" s="1">
        <v>3</v>
      </c>
      <c r="L19" s="1">
        <v>101</v>
      </c>
      <c r="M19" s="1">
        <v>30</v>
      </c>
      <c r="N19" s="1">
        <v>60005</v>
      </c>
      <c r="O19" s="1" t="s">
        <v>74</v>
      </c>
      <c r="P19" s="1">
        <v>201008</v>
      </c>
      <c r="Q19" s="1" t="s">
        <v>74</v>
      </c>
    </row>
    <row r="20" spans="1:17">
      <c r="A20" s="2">
        <f t="shared" si="0"/>
        <v>100106</v>
      </c>
      <c r="B20" s="2">
        <f t="shared" si="1"/>
        <v>1001</v>
      </c>
      <c r="C20" s="1">
        <v>6</v>
      </c>
      <c r="D20" s="1" t="s">
        <v>10</v>
      </c>
      <c r="E20" s="1" t="s">
        <v>74</v>
      </c>
      <c r="F20" s="1" t="s">
        <v>14</v>
      </c>
      <c r="G20" s="1" t="s">
        <v>75</v>
      </c>
      <c r="H20" s="1">
        <v>15000</v>
      </c>
      <c r="I20" s="1">
        <v>1</v>
      </c>
      <c r="J20" s="1">
        <v>12</v>
      </c>
      <c r="K20" s="1">
        <v>3</v>
      </c>
      <c r="L20" s="1">
        <v>101</v>
      </c>
      <c r="M20" s="1">
        <v>30</v>
      </c>
      <c r="N20" s="1">
        <v>60006</v>
      </c>
      <c r="O20" s="2"/>
      <c r="P20" s="1">
        <v>201008</v>
      </c>
      <c r="Q20" s="1" t="s">
        <v>74</v>
      </c>
    </row>
    <row r="21" spans="1:17">
      <c r="A21" s="2">
        <f t="shared" si="0"/>
        <v>100107</v>
      </c>
      <c r="B21" s="2">
        <f t="shared" si="1"/>
        <v>1001</v>
      </c>
      <c r="C21" s="1">
        <v>7</v>
      </c>
      <c r="D21" s="1" t="s">
        <v>10</v>
      </c>
      <c r="E21" s="1" t="s">
        <v>74</v>
      </c>
      <c r="F21" s="1" t="s">
        <v>14</v>
      </c>
      <c r="G21" s="1" t="s">
        <v>75</v>
      </c>
      <c r="H21" s="1">
        <v>16000</v>
      </c>
      <c r="I21" s="1">
        <v>1</v>
      </c>
      <c r="J21" s="1">
        <v>12</v>
      </c>
      <c r="K21" s="1">
        <v>3</v>
      </c>
      <c r="L21" s="1">
        <v>101</v>
      </c>
      <c r="M21" s="1">
        <v>30</v>
      </c>
      <c r="N21" s="1">
        <v>60007</v>
      </c>
      <c r="O21" s="2"/>
      <c r="P21" s="1">
        <v>201008</v>
      </c>
      <c r="Q21" s="1" t="s">
        <v>74</v>
      </c>
    </row>
    <row r="22" spans="1:17">
      <c r="A22" s="2">
        <f t="shared" si="0"/>
        <v>100108</v>
      </c>
      <c r="B22" s="2">
        <f t="shared" si="1"/>
        <v>1001</v>
      </c>
      <c r="C22" s="1">
        <v>8</v>
      </c>
      <c r="D22" s="1" t="s">
        <v>10</v>
      </c>
      <c r="E22" s="1" t="s">
        <v>74</v>
      </c>
      <c r="F22" s="1" t="s">
        <v>14</v>
      </c>
      <c r="G22" s="1" t="s">
        <v>75</v>
      </c>
      <c r="H22" s="1">
        <v>17000</v>
      </c>
      <c r="I22" s="1">
        <v>1</v>
      </c>
      <c r="J22" s="1">
        <v>12</v>
      </c>
      <c r="K22" s="1">
        <v>3</v>
      </c>
      <c r="L22" s="1">
        <v>101</v>
      </c>
      <c r="M22" s="1">
        <v>30</v>
      </c>
      <c r="N22" s="1">
        <v>60008</v>
      </c>
      <c r="O22" s="2">
        <v>70010</v>
      </c>
      <c r="P22" s="1">
        <v>201008</v>
      </c>
      <c r="Q22" s="1" t="s">
        <v>74</v>
      </c>
    </row>
    <row r="23" spans="1:17">
      <c r="A23" s="2">
        <f t="shared" si="0"/>
        <v>100109</v>
      </c>
      <c r="B23" s="2">
        <f t="shared" si="1"/>
        <v>1001</v>
      </c>
      <c r="C23" s="1">
        <v>9</v>
      </c>
      <c r="D23" s="1" t="s">
        <v>10</v>
      </c>
      <c r="E23" s="1" t="s">
        <v>74</v>
      </c>
      <c r="F23" s="1" t="s">
        <v>14</v>
      </c>
      <c r="G23" s="1" t="s">
        <v>75</v>
      </c>
      <c r="H23" s="1">
        <v>18000</v>
      </c>
      <c r="I23" s="1">
        <v>1</v>
      </c>
      <c r="J23" s="1">
        <v>12</v>
      </c>
      <c r="K23" s="1">
        <v>3</v>
      </c>
      <c r="L23" s="1">
        <v>101</v>
      </c>
      <c r="M23" s="1">
        <v>30</v>
      </c>
      <c r="N23" s="1">
        <v>60009</v>
      </c>
      <c r="O23" s="2">
        <v>70010</v>
      </c>
      <c r="P23" s="1">
        <v>201008</v>
      </c>
      <c r="Q23" s="1" t="s">
        <v>74</v>
      </c>
    </row>
    <row r="24" spans="1:17">
      <c r="A24" s="2">
        <f t="shared" si="0"/>
        <v>100110</v>
      </c>
      <c r="B24" s="2">
        <f t="shared" si="1"/>
        <v>1001</v>
      </c>
      <c r="C24" s="1">
        <v>10</v>
      </c>
      <c r="D24" s="1" t="s">
        <v>10</v>
      </c>
      <c r="E24" s="1" t="s">
        <v>74</v>
      </c>
      <c r="F24" s="1" t="s">
        <v>14</v>
      </c>
      <c r="G24" s="1" t="s">
        <v>75</v>
      </c>
      <c r="H24" s="1">
        <v>19000</v>
      </c>
      <c r="I24" s="1">
        <v>1</v>
      </c>
      <c r="J24" s="1">
        <v>12</v>
      </c>
      <c r="K24" s="1">
        <v>3</v>
      </c>
      <c r="L24" s="1">
        <v>101</v>
      </c>
      <c r="M24" s="1">
        <v>30</v>
      </c>
      <c r="N24" s="1">
        <v>60010</v>
      </c>
      <c r="O24" s="2">
        <v>70010</v>
      </c>
      <c r="P24" s="1" t="s">
        <v>88</v>
      </c>
      <c r="Q24" s="1">
        <v>4</v>
      </c>
    </row>
    <row r="25" spans="1:17">
      <c r="A25" s="2">
        <f t="shared" si="0"/>
        <v>100200</v>
      </c>
      <c r="B25" s="2">
        <f>B14+1</f>
        <v>1002</v>
      </c>
      <c r="C25" s="1">
        <v>0</v>
      </c>
      <c r="D25" s="1" t="s">
        <v>16</v>
      </c>
      <c r="E25" s="1" t="s">
        <v>74</v>
      </c>
      <c r="F25" s="1" t="s">
        <v>20</v>
      </c>
      <c r="G25" s="1" t="s">
        <v>89</v>
      </c>
      <c r="H25" s="1">
        <v>0</v>
      </c>
      <c r="I25" s="1">
        <v>1</v>
      </c>
      <c r="J25" s="1">
        <v>0</v>
      </c>
      <c r="K25" s="1">
        <v>3</v>
      </c>
      <c r="L25" s="1">
        <v>0</v>
      </c>
      <c r="M25" s="1">
        <v>0</v>
      </c>
      <c r="N25" s="1" t="s">
        <v>74</v>
      </c>
      <c r="O25" s="1" t="s">
        <v>74</v>
      </c>
      <c r="P25" s="1" t="s">
        <v>74</v>
      </c>
      <c r="Q25" s="1" t="s">
        <v>74</v>
      </c>
    </row>
    <row r="26" spans="1:17">
      <c r="A26" s="2">
        <f t="shared" si="0"/>
        <v>100201</v>
      </c>
      <c r="B26" s="2">
        <f t="shared" ref="B26:B35" si="2">B25</f>
        <v>1002</v>
      </c>
      <c r="C26" s="1">
        <v>1</v>
      </c>
      <c r="D26" s="1" t="s">
        <v>16</v>
      </c>
      <c r="E26" s="1" t="s">
        <v>74</v>
      </c>
      <c r="F26" s="1" t="s">
        <v>20</v>
      </c>
      <c r="G26" s="1" t="s">
        <v>89</v>
      </c>
      <c r="H26" s="1">
        <v>0</v>
      </c>
      <c r="I26" s="1">
        <v>1</v>
      </c>
      <c r="J26" s="1">
        <v>0</v>
      </c>
      <c r="K26" s="1">
        <v>3</v>
      </c>
      <c r="L26" s="1">
        <v>0</v>
      </c>
      <c r="M26" s="1">
        <v>0</v>
      </c>
      <c r="N26" s="1" t="s">
        <v>90</v>
      </c>
      <c r="Q26" s="1" t="s">
        <v>74</v>
      </c>
    </row>
    <row r="27" spans="1:17">
      <c r="A27" s="2">
        <f t="shared" si="0"/>
        <v>100202</v>
      </c>
      <c r="B27" s="2">
        <f t="shared" si="2"/>
        <v>1002</v>
      </c>
      <c r="C27" s="1">
        <v>2</v>
      </c>
      <c r="D27" s="1" t="s">
        <v>16</v>
      </c>
      <c r="E27" s="1" t="s">
        <v>74</v>
      </c>
      <c r="F27" s="1" t="s">
        <v>20</v>
      </c>
      <c r="G27" s="1" t="s">
        <v>89</v>
      </c>
      <c r="H27" s="1">
        <v>0</v>
      </c>
      <c r="I27" s="1">
        <v>1</v>
      </c>
      <c r="J27" s="1">
        <v>0</v>
      </c>
      <c r="K27" s="1">
        <v>3</v>
      </c>
      <c r="L27" s="1">
        <v>0</v>
      </c>
      <c r="M27" s="1">
        <v>0</v>
      </c>
      <c r="N27" s="1" t="s">
        <v>91</v>
      </c>
      <c r="Q27" s="1" t="s">
        <v>74</v>
      </c>
    </row>
    <row r="28" ht="27" spans="1:17">
      <c r="A28" s="2">
        <f t="shared" si="0"/>
        <v>100203</v>
      </c>
      <c r="B28" s="2">
        <f t="shared" si="2"/>
        <v>1002</v>
      </c>
      <c r="C28" s="1">
        <v>3</v>
      </c>
      <c r="D28" s="1" t="s">
        <v>16</v>
      </c>
      <c r="E28" s="1" t="s">
        <v>74</v>
      </c>
      <c r="F28" s="1" t="s">
        <v>20</v>
      </c>
      <c r="G28" s="1" t="s">
        <v>89</v>
      </c>
      <c r="H28" s="1">
        <v>0</v>
      </c>
      <c r="I28" s="1">
        <v>1</v>
      </c>
      <c r="J28" s="1">
        <v>0</v>
      </c>
      <c r="K28" s="1">
        <v>3</v>
      </c>
      <c r="L28" s="1">
        <v>0</v>
      </c>
      <c r="M28" s="1">
        <v>0</v>
      </c>
      <c r="N28" s="1" t="s">
        <v>92</v>
      </c>
      <c r="Q28" s="1" t="s">
        <v>74</v>
      </c>
    </row>
    <row r="29" ht="27" spans="1:17">
      <c r="A29" s="2">
        <f t="shared" si="0"/>
        <v>100204</v>
      </c>
      <c r="B29" s="2">
        <f t="shared" si="2"/>
        <v>1002</v>
      </c>
      <c r="C29" s="1">
        <v>4</v>
      </c>
      <c r="D29" s="1" t="s">
        <v>16</v>
      </c>
      <c r="E29" s="1" t="s">
        <v>74</v>
      </c>
      <c r="F29" s="1" t="s">
        <v>20</v>
      </c>
      <c r="G29" s="1" t="s">
        <v>89</v>
      </c>
      <c r="H29" s="1">
        <v>0</v>
      </c>
      <c r="I29" s="1">
        <v>1</v>
      </c>
      <c r="J29" s="1">
        <v>0</v>
      </c>
      <c r="K29" s="1">
        <v>3</v>
      </c>
      <c r="L29" s="1">
        <v>0</v>
      </c>
      <c r="M29" s="1">
        <v>0</v>
      </c>
      <c r="N29" s="1" t="s">
        <v>93</v>
      </c>
      <c r="Q29" s="1" t="s">
        <v>74</v>
      </c>
    </row>
    <row r="30" ht="27" spans="1:17">
      <c r="A30" s="2">
        <f t="shared" si="0"/>
        <v>100205</v>
      </c>
      <c r="B30" s="2">
        <f t="shared" si="2"/>
        <v>1002</v>
      </c>
      <c r="C30" s="1">
        <v>5</v>
      </c>
      <c r="D30" s="1" t="s">
        <v>16</v>
      </c>
      <c r="E30" s="1" t="s">
        <v>74</v>
      </c>
      <c r="F30" s="1" t="s">
        <v>20</v>
      </c>
      <c r="G30" s="1" t="s">
        <v>89</v>
      </c>
      <c r="H30" s="1">
        <v>0</v>
      </c>
      <c r="I30" s="1">
        <v>1</v>
      </c>
      <c r="J30" s="1">
        <v>0</v>
      </c>
      <c r="K30" s="1">
        <v>3</v>
      </c>
      <c r="L30" s="1">
        <v>0</v>
      </c>
      <c r="M30" s="1">
        <v>0</v>
      </c>
      <c r="N30" s="1" t="s">
        <v>94</v>
      </c>
      <c r="Q30" s="1" t="s">
        <v>74</v>
      </c>
    </row>
    <row r="31" ht="27" spans="1:17">
      <c r="A31" s="2">
        <f t="shared" si="0"/>
        <v>100206</v>
      </c>
      <c r="B31" s="2">
        <f t="shared" si="2"/>
        <v>1002</v>
      </c>
      <c r="C31" s="1">
        <v>6</v>
      </c>
      <c r="D31" s="1" t="s">
        <v>16</v>
      </c>
      <c r="E31" s="1" t="s">
        <v>74</v>
      </c>
      <c r="F31" s="1" t="s">
        <v>20</v>
      </c>
      <c r="G31" s="1" t="s">
        <v>89</v>
      </c>
      <c r="H31" s="1">
        <v>0</v>
      </c>
      <c r="I31" s="1">
        <v>1</v>
      </c>
      <c r="J31" s="1">
        <v>0</v>
      </c>
      <c r="K31" s="1">
        <v>3</v>
      </c>
      <c r="L31" s="1">
        <v>0</v>
      </c>
      <c r="M31" s="1">
        <v>0</v>
      </c>
      <c r="N31" s="1" t="s">
        <v>95</v>
      </c>
      <c r="Q31" s="1" t="s">
        <v>74</v>
      </c>
    </row>
    <row r="32" ht="27" spans="1:17">
      <c r="A32" s="2">
        <f t="shared" si="0"/>
        <v>100207</v>
      </c>
      <c r="B32" s="2">
        <f t="shared" si="2"/>
        <v>1002</v>
      </c>
      <c r="C32" s="1">
        <v>7</v>
      </c>
      <c r="D32" s="1" t="s">
        <v>16</v>
      </c>
      <c r="E32" s="1" t="s">
        <v>74</v>
      </c>
      <c r="F32" s="1" t="s">
        <v>20</v>
      </c>
      <c r="G32" s="1" t="s">
        <v>89</v>
      </c>
      <c r="H32" s="1">
        <v>0</v>
      </c>
      <c r="I32" s="1">
        <v>1</v>
      </c>
      <c r="J32" s="1">
        <v>0</v>
      </c>
      <c r="K32" s="1">
        <v>3</v>
      </c>
      <c r="L32" s="1">
        <v>0</v>
      </c>
      <c r="M32" s="1">
        <v>0</v>
      </c>
      <c r="N32" s="1" t="s">
        <v>96</v>
      </c>
      <c r="Q32" s="1" t="s">
        <v>74</v>
      </c>
    </row>
    <row r="33" ht="27" spans="1:17">
      <c r="A33" s="2">
        <f t="shared" si="0"/>
        <v>100208</v>
      </c>
      <c r="B33" s="2">
        <f t="shared" si="2"/>
        <v>1002</v>
      </c>
      <c r="C33" s="1">
        <v>8</v>
      </c>
      <c r="D33" s="1" t="s">
        <v>16</v>
      </c>
      <c r="E33" s="1" t="s">
        <v>74</v>
      </c>
      <c r="F33" s="1" t="s">
        <v>20</v>
      </c>
      <c r="G33" s="1" t="s">
        <v>89</v>
      </c>
      <c r="H33" s="1">
        <v>0</v>
      </c>
      <c r="I33" s="1">
        <v>1</v>
      </c>
      <c r="J33" s="1">
        <v>0</v>
      </c>
      <c r="K33" s="1">
        <v>3</v>
      </c>
      <c r="L33" s="1">
        <v>0</v>
      </c>
      <c r="M33" s="1">
        <v>0</v>
      </c>
      <c r="N33" s="1" t="s">
        <v>97</v>
      </c>
      <c r="Q33" s="1" t="s">
        <v>74</v>
      </c>
    </row>
    <row r="34" ht="27" spans="1:17">
      <c r="A34" s="2">
        <f t="shared" si="0"/>
        <v>100209</v>
      </c>
      <c r="B34" s="2">
        <f t="shared" si="2"/>
        <v>1002</v>
      </c>
      <c r="C34" s="1">
        <v>9</v>
      </c>
      <c r="D34" s="1" t="s">
        <v>16</v>
      </c>
      <c r="E34" s="1" t="s">
        <v>74</v>
      </c>
      <c r="F34" s="1" t="s">
        <v>20</v>
      </c>
      <c r="G34" s="1" t="s">
        <v>89</v>
      </c>
      <c r="H34" s="1">
        <v>0</v>
      </c>
      <c r="I34" s="1">
        <v>1</v>
      </c>
      <c r="J34" s="1">
        <v>0</v>
      </c>
      <c r="K34" s="1">
        <v>3</v>
      </c>
      <c r="L34" s="1">
        <v>0</v>
      </c>
      <c r="M34" s="1">
        <v>0</v>
      </c>
      <c r="N34" s="1" t="s">
        <v>98</v>
      </c>
      <c r="Q34" s="1" t="s">
        <v>74</v>
      </c>
    </row>
    <row r="35" ht="27" spans="1:17">
      <c r="A35" s="2">
        <f t="shared" si="0"/>
        <v>100210</v>
      </c>
      <c r="B35" s="2">
        <f t="shared" si="2"/>
        <v>1002</v>
      </c>
      <c r="C35" s="1">
        <v>10</v>
      </c>
      <c r="D35" s="1" t="s">
        <v>16</v>
      </c>
      <c r="E35" s="1" t="s">
        <v>74</v>
      </c>
      <c r="F35" s="1" t="s">
        <v>20</v>
      </c>
      <c r="G35" s="1" t="s">
        <v>89</v>
      </c>
      <c r="H35" s="1">
        <v>0</v>
      </c>
      <c r="I35" s="1">
        <v>1</v>
      </c>
      <c r="J35" s="1">
        <v>0</v>
      </c>
      <c r="K35" s="1">
        <v>3</v>
      </c>
      <c r="L35" s="1">
        <v>0</v>
      </c>
      <c r="M35" s="1">
        <v>0</v>
      </c>
      <c r="N35" s="1" t="s">
        <v>99</v>
      </c>
      <c r="Q35" s="1" t="s">
        <v>74</v>
      </c>
    </row>
    <row r="36" spans="1:17">
      <c r="A36" s="2">
        <f t="shared" si="0"/>
        <v>100300</v>
      </c>
      <c r="B36" s="2">
        <f>B25+1</f>
        <v>1003</v>
      </c>
      <c r="C36" s="1">
        <v>0</v>
      </c>
      <c r="D36" s="1" t="s">
        <v>22</v>
      </c>
      <c r="E36" s="1" t="s">
        <v>74</v>
      </c>
      <c r="F36" s="1" t="s">
        <v>26</v>
      </c>
      <c r="G36" s="1" t="s">
        <v>75</v>
      </c>
      <c r="H36" s="1">
        <v>0</v>
      </c>
      <c r="I36" s="1">
        <v>2</v>
      </c>
      <c r="J36" s="1">
        <v>0</v>
      </c>
      <c r="K36" s="1">
        <v>3</v>
      </c>
      <c r="L36" s="1">
        <v>102</v>
      </c>
      <c r="M36" s="1">
        <v>30</v>
      </c>
      <c r="N36" s="1" t="s">
        <v>74</v>
      </c>
      <c r="O36" s="1" t="s">
        <v>74</v>
      </c>
      <c r="P36" s="1" t="s">
        <v>74</v>
      </c>
    </row>
    <row r="37" spans="1:17">
      <c r="A37" s="2">
        <f t="shared" si="0"/>
        <v>100301</v>
      </c>
      <c r="B37" s="2">
        <f t="shared" ref="B37:B46" si="3">B36</f>
        <v>1003</v>
      </c>
      <c r="C37" s="1">
        <v>1</v>
      </c>
      <c r="D37" s="1" t="s">
        <v>22</v>
      </c>
      <c r="E37" s="1" t="s">
        <v>74</v>
      </c>
      <c r="F37" s="1" t="s">
        <v>26</v>
      </c>
      <c r="G37" s="1" t="s">
        <v>75</v>
      </c>
      <c r="H37" s="1">
        <v>10000</v>
      </c>
      <c r="I37" s="1">
        <v>2</v>
      </c>
      <c r="J37" s="1">
        <v>15</v>
      </c>
      <c r="K37" s="1">
        <v>3</v>
      </c>
      <c r="L37" s="1">
        <v>102</v>
      </c>
      <c r="M37" s="1">
        <v>30</v>
      </c>
      <c r="N37" s="1">
        <v>60011</v>
      </c>
      <c r="O37" s="2">
        <v>70201</v>
      </c>
      <c r="P37" s="1" t="s">
        <v>74</v>
      </c>
    </row>
    <row r="38" spans="1:17">
      <c r="A38" s="2">
        <f t="shared" si="0"/>
        <v>100302</v>
      </c>
      <c r="B38" s="2">
        <f t="shared" si="3"/>
        <v>1003</v>
      </c>
      <c r="C38" s="1">
        <v>2</v>
      </c>
      <c r="D38" s="1" t="s">
        <v>22</v>
      </c>
      <c r="E38" s="1" t="s">
        <v>74</v>
      </c>
      <c r="F38" s="1" t="s">
        <v>26</v>
      </c>
      <c r="G38" s="1" t="s">
        <v>75</v>
      </c>
      <c r="H38" s="1">
        <v>11000</v>
      </c>
      <c r="I38" s="1">
        <v>2</v>
      </c>
      <c r="J38" s="1">
        <v>15</v>
      </c>
      <c r="K38" s="1">
        <v>3</v>
      </c>
      <c r="L38" s="1">
        <v>102</v>
      </c>
      <c r="M38" s="1">
        <v>30</v>
      </c>
      <c r="N38" s="1">
        <v>60012</v>
      </c>
      <c r="O38" s="2">
        <v>70201</v>
      </c>
    </row>
    <row r="39" spans="1:17">
      <c r="A39" s="2">
        <f t="shared" si="0"/>
        <v>100303</v>
      </c>
      <c r="B39" s="2">
        <f t="shared" si="3"/>
        <v>1003</v>
      </c>
      <c r="C39" s="1">
        <v>3</v>
      </c>
      <c r="D39" s="1" t="s">
        <v>22</v>
      </c>
      <c r="E39" s="1" t="s">
        <v>74</v>
      </c>
      <c r="F39" s="1" t="s">
        <v>26</v>
      </c>
      <c r="G39" s="1" t="s">
        <v>75</v>
      </c>
      <c r="H39" s="1">
        <v>12000</v>
      </c>
      <c r="I39" s="1">
        <v>2</v>
      </c>
      <c r="J39" s="1">
        <v>15</v>
      </c>
      <c r="K39" s="1">
        <v>3</v>
      </c>
      <c r="L39" s="1">
        <v>102</v>
      </c>
      <c r="M39" s="1">
        <v>30</v>
      </c>
      <c r="N39" s="1">
        <v>60013</v>
      </c>
      <c r="O39" s="2">
        <v>70201</v>
      </c>
      <c r="P39" s="1">
        <v>201005</v>
      </c>
    </row>
    <row r="40" spans="1:17">
      <c r="A40" s="2">
        <f t="shared" si="0"/>
        <v>100304</v>
      </c>
      <c r="B40" s="2">
        <f t="shared" si="3"/>
        <v>1003</v>
      </c>
      <c r="C40" s="1">
        <v>4</v>
      </c>
      <c r="D40" s="1" t="s">
        <v>22</v>
      </c>
      <c r="E40" s="1" t="s">
        <v>74</v>
      </c>
      <c r="F40" s="1" t="s">
        <v>26</v>
      </c>
      <c r="G40" s="1" t="s">
        <v>75</v>
      </c>
      <c r="H40" s="1">
        <v>13000</v>
      </c>
      <c r="I40" s="1">
        <v>2</v>
      </c>
      <c r="J40" s="1">
        <v>15</v>
      </c>
      <c r="K40" s="1">
        <v>3</v>
      </c>
      <c r="L40" s="1">
        <v>102</v>
      </c>
      <c r="M40" s="1">
        <v>30</v>
      </c>
      <c r="N40" s="1">
        <v>60014</v>
      </c>
      <c r="O40" s="2">
        <v>70201</v>
      </c>
      <c r="P40" s="1">
        <v>201005</v>
      </c>
    </row>
    <row r="41" spans="1:17">
      <c r="A41" s="2">
        <f t="shared" si="0"/>
        <v>100305</v>
      </c>
      <c r="B41" s="2">
        <f t="shared" si="3"/>
        <v>1003</v>
      </c>
      <c r="C41" s="1">
        <v>5</v>
      </c>
      <c r="D41" s="1" t="s">
        <v>22</v>
      </c>
      <c r="E41" s="1" t="s">
        <v>74</v>
      </c>
      <c r="F41" s="1" t="s">
        <v>26</v>
      </c>
      <c r="G41" s="1" t="s">
        <v>75</v>
      </c>
      <c r="H41" s="1">
        <v>14000</v>
      </c>
      <c r="I41" s="1">
        <v>2</v>
      </c>
      <c r="J41" s="1">
        <v>15</v>
      </c>
      <c r="K41" s="1">
        <v>3</v>
      </c>
      <c r="L41" s="1">
        <v>102</v>
      </c>
      <c r="M41" s="1">
        <v>30</v>
      </c>
      <c r="N41" s="1">
        <v>60015</v>
      </c>
      <c r="O41" s="2">
        <v>70204</v>
      </c>
      <c r="P41" s="1">
        <v>201005</v>
      </c>
    </row>
    <row r="42" spans="1:17">
      <c r="A42" s="2">
        <f t="shared" si="0"/>
        <v>100306</v>
      </c>
      <c r="B42" s="2">
        <f t="shared" si="3"/>
        <v>1003</v>
      </c>
      <c r="C42" s="1">
        <v>6</v>
      </c>
      <c r="D42" s="1" t="s">
        <v>22</v>
      </c>
      <c r="E42" s="1" t="s">
        <v>74</v>
      </c>
      <c r="F42" s="1" t="s">
        <v>26</v>
      </c>
      <c r="G42" s="1" t="s">
        <v>75</v>
      </c>
      <c r="H42" s="1">
        <v>15000</v>
      </c>
      <c r="I42" s="1">
        <v>2</v>
      </c>
      <c r="J42" s="1">
        <v>15</v>
      </c>
      <c r="K42" s="1">
        <v>3</v>
      </c>
      <c r="L42" s="1">
        <v>102</v>
      </c>
      <c r="M42" s="1">
        <v>30</v>
      </c>
      <c r="N42" s="1">
        <v>60016</v>
      </c>
      <c r="O42" s="2">
        <v>70204</v>
      </c>
      <c r="P42" s="1">
        <v>201005</v>
      </c>
    </row>
    <row r="43" spans="1:17">
      <c r="A43" s="2">
        <f t="shared" si="0"/>
        <v>100307</v>
      </c>
      <c r="B43" s="2">
        <f t="shared" si="3"/>
        <v>1003</v>
      </c>
      <c r="C43" s="1">
        <v>7</v>
      </c>
      <c r="D43" s="1" t="s">
        <v>22</v>
      </c>
      <c r="E43" s="1" t="s">
        <v>74</v>
      </c>
      <c r="F43" s="1" t="s">
        <v>26</v>
      </c>
      <c r="G43" s="1" t="s">
        <v>75</v>
      </c>
      <c r="H43" s="1">
        <v>16000</v>
      </c>
      <c r="I43" s="1">
        <v>2</v>
      </c>
      <c r="J43" s="1">
        <v>15</v>
      </c>
      <c r="K43" s="1">
        <v>3</v>
      </c>
      <c r="L43" s="1">
        <v>102</v>
      </c>
      <c r="M43" s="1">
        <v>30</v>
      </c>
      <c r="N43" s="1">
        <v>60017</v>
      </c>
      <c r="O43" s="2">
        <v>70204</v>
      </c>
      <c r="P43" s="1">
        <v>201005</v>
      </c>
    </row>
    <row r="44" spans="1:17">
      <c r="A44" s="2">
        <f t="shared" si="0"/>
        <v>100308</v>
      </c>
      <c r="B44" s="2">
        <f t="shared" si="3"/>
        <v>1003</v>
      </c>
      <c r="C44" s="1">
        <v>8</v>
      </c>
      <c r="D44" s="1" t="s">
        <v>22</v>
      </c>
      <c r="E44" s="1" t="s">
        <v>74</v>
      </c>
      <c r="F44" s="1" t="s">
        <v>26</v>
      </c>
      <c r="G44" s="1" t="s">
        <v>75</v>
      </c>
      <c r="H44" s="1">
        <v>17000</v>
      </c>
      <c r="I44" s="1">
        <v>2</v>
      </c>
      <c r="J44" s="1">
        <v>15</v>
      </c>
      <c r="K44" s="1">
        <v>3</v>
      </c>
      <c r="L44" s="1">
        <v>102</v>
      </c>
      <c r="M44" s="1">
        <v>30</v>
      </c>
      <c r="N44" s="1">
        <v>60018</v>
      </c>
      <c r="O44" s="2">
        <v>70204</v>
      </c>
      <c r="P44" s="1" t="s">
        <v>100</v>
      </c>
    </row>
    <row r="45" spans="1:17">
      <c r="A45" s="2">
        <f t="shared" si="0"/>
        <v>100309</v>
      </c>
      <c r="B45" s="2">
        <f t="shared" si="3"/>
        <v>1003</v>
      </c>
      <c r="C45" s="1">
        <v>9</v>
      </c>
      <c r="D45" s="1" t="s">
        <v>22</v>
      </c>
      <c r="E45" s="1" t="s">
        <v>74</v>
      </c>
      <c r="F45" s="1" t="s">
        <v>26</v>
      </c>
      <c r="G45" s="1" t="s">
        <v>75</v>
      </c>
      <c r="H45" s="1">
        <v>18000</v>
      </c>
      <c r="I45" s="1">
        <v>2</v>
      </c>
      <c r="J45" s="1">
        <v>15</v>
      </c>
      <c r="K45" s="1">
        <v>3</v>
      </c>
      <c r="L45" s="1">
        <v>102</v>
      </c>
      <c r="M45" s="1">
        <v>30</v>
      </c>
      <c r="N45" s="1">
        <v>60019</v>
      </c>
      <c r="O45" s="2">
        <v>70204</v>
      </c>
      <c r="P45" s="1" t="s">
        <v>100</v>
      </c>
    </row>
    <row r="46" ht="27" spans="1:17">
      <c r="A46" s="2">
        <f t="shared" si="0"/>
        <v>100310</v>
      </c>
      <c r="B46" s="2">
        <f t="shared" si="3"/>
        <v>1003</v>
      </c>
      <c r="C46" s="1">
        <v>10</v>
      </c>
      <c r="D46" s="1" t="s">
        <v>22</v>
      </c>
      <c r="E46" s="1" t="s">
        <v>74</v>
      </c>
      <c r="F46" s="1" t="s">
        <v>26</v>
      </c>
      <c r="G46" s="1" t="s">
        <v>75</v>
      </c>
      <c r="H46" s="1">
        <v>19000</v>
      </c>
      <c r="I46" s="1">
        <v>2</v>
      </c>
      <c r="J46" s="1">
        <v>15</v>
      </c>
      <c r="K46" s="1">
        <v>3</v>
      </c>
      <c r="L46" s="1">
        <v>102</v>
      </c>
      <c r="M46" s="1">
        <v>30</v>
      </c>
      <c r="N46" s="1">
        <v>60020</v>
      </c>
      <c r="O46" s="2">
        <v>70214</v>
      </c>
      <c r="P46" s="1" t="s">
        <v>101</v>
      </c>
    </row>
    <row r="47" spans="1:17">
      <c r="A47" s="2">
        <f t="shared" si="0"/>
        <v>100400</v>
      </c>
      <c r="B47" s="2">
        <f>B36+1</f>
        <v>1004</v>
      </c>
      <c r="C47" s="1">
        <v>0</v>
      </c>
      <c r="D47" s="1" t="s">
        <v>28</v>
      </c>
      <c r="E47" s="1" t="s">
        <v>74</v>
      </c>
      <c r="F47" s="1" t="s">
        <v>32</v>
      </c>
      <c r="G47" s="1" t="s">
        <v>89</v>
      </c>
      <c r="H47" s="1">
        <v>0</v>
      </c>
      <c r="I47" s="1">
        <v>2</v>
      </c>
      <c r="J47" s="1">
        <v>0</v>
      </c>
      <c r="K47" s="1">
        <v>3</v>
      </c>
      <c r="L47" s="1">
        <v>0</v>
      </c>
      <c r="M47" s="1">
        <v>0</v>
      </c>
      <c r="N47" s="1" t="s">
        <v>74</v>
      </c>
      <c r="O47" s="1" t="s">
        <v>74</v>
      </c>
      <c r="P47" s="1" t="s">
        <v>74</v>
      </c>
    </row>
    <row r="48" ht="27" spans="1:17">
      <c r="A48" s="2">
        <f t="shared" si="0"/>
        <v>100401</v>
      </c>
      <c r="B48" s="2">
        <f t="shared" ref="B48:B57" si="4">B47</f>
        <v>1004</v>
      </c>
      <c r="C48" s="1">
        <v>1</v>
      </c>
      <c r="D48" s="1" t="s">
        <v>28</v>
      </c>
      <c r="E48" s="1" t="s">
        <v>74</v>
      </c>
      <c r="F48" s="1" t="s">
        <v>32</v>
      </c>
      <c r="G48" s="1" t="s">
        <v>89</v>
      </c>
      <c r="H48" s="1">
        <v>0</v>
      </c>
      <c r="I48" s="1">
        <v>2</v>
      </c>
      <c r="J48" s="1">
        <v>0</v>
      </c>
      <c r="K48" s="1">
        <v>3</v>
      </c>
      <c r="L48" s="1">
        <v>0</v>
      </c>
      <c r="M48" s="1">
        <v>0</v>
      </c>
      <c r="N48" s="1" t="s">
        <v>102</v>
      </c>
      <c r="P48" s="1" t="s">
        <v>74</v>
      </c>
    </row>
    <row r="49" ht="27" spans="1:16">
      <c r="A49" s="2">
        <f t="shared" si="0"/>
        <v>100402</v>
      </c>
      <c r="B49" s="2">
        <f t="shared" si="4"/>
        <v>1004</v>
      </c>
      <c r="C49" s="1">
        <v>2</v>
      </c>
      <c r="D49" s="1" t="s">
        <v>28</v>
      </c>
      <c r="E49" s="1" t="s">
        <v>74</v>
      </c>
      <c r="F49" s="1" t="s">
        <v>32</v>
      </c>
      <c r="G49" s="1" t="s">
        <v>89</v>
      </c>
      <c r="H49" s="1">
        <v>0</v>
      </c>
      <c r="I49" s="1">
        <v>2</v>
      </c>
      <c r="J49" s="1">
        <v>0</v>
      </c>
      <c r="K49" s="1">
        <v>3</v>
      </c>
      <c r="L49" s="1">
        <v>0</v>
      </c>
      <c r="M49" s="1">
        <v>0</v>
      </c>
      <c r="N49" s="1" t="s">
        <v>103</v>
      </c>
      <c r="P49" s="1" t="s">
        <v>74</v>
      </c>
    </row>
    <row r="50" ht="27" spans="1:16">
      <c r="A50" s="2">
        <f t="shared" si="0"/>
        <v>100403</v>
      </c>
      <c r="B50" s="2">
        <f t="shared" si="4"/>
        <v>1004</v>
      </c>
      <c r="C50" s="1">
        <v>3</v>
      </c>
      <c r="D50" s="1" t="s">
        <v>28</v>
      </c>
      <c r="E50" s="1" t="s">
        <v>74</v>
      </c>
      <c r="F50" s="1" t="s">
        <v>32</v>
      </c>
      <c r="G50" s="1" t="s">
        <v>89</v>
      </c>
      <c r="H50" s="1">
        <v>0</v>
      </c>
      <c r="I50" s="1">
        <v>2</v>
      </c>
      <c r="J50" s="1">
        <v>0</v>
      </c>
      <c r="K50" s="1">
        <v>3</v>
      </c>
      <c r="L50" s="1">
        <v>0</v>
      </c>
      <c r="M50" s="1">
        <v>0</v>
      </c>
      <c r="N50" s="1" t="s">
        <v>104</v>
      </c>
      <c r="P50" s="1" t="s">
        <v>74</v>
      </c>
    </row>
    <row r="51" ht="27" spans="1:16">
      <c r="A51" s="2">
        <f t="shared" si="0"/>
        <v>100404</v>
      </c>
      <c r="B51" s="2">
        <f t="shared" si="4"/>
        <v>1004</v>
      </c>
      <c r="C51" s="1">
        <v>4</v>
      </c>
      <c r="D51" s="1" t="s">
        <v>28</v>
      </c>
      <c r="E51" s="1" t="s">
        <v>74</v>
      </c>
      <c r="F51" s="1" t="s">
        <v>32</v>
      </c>
      <c r="G51" s="1" t="s">
        <v>89</v>
      </c>
      <c r="H51" s="1">
        <v>0</v>
      </c>
      <c r="I51" s="1">
        <v>2</v>
      </c>
      <c r="J51" s="1">
        <v>0</v>
      </c>
      <c r="K51" s="1">
        <v>3</v>
      </c>
      <c r="L51" s="1">
        <v>0</v>
      </c>
      <c r="M51" s="1">
        <v>0</v>
      </c>
      <c r="N51" s="1" t="s">
        <v>105</v>
      </c>
      <c r="P51" s="1" t="s">
        <v>74</v>
      </c>
    </row>
    <row r="52" ht="27" spans="1:16">
      <c r="A52" s="2">
        <f t="shared" si="0"/>
        <v>100405</v>
      </c>
      <c r="B52" s="2">
        <f t="shared" si="4"/>
        <v>1004</v>
      </c>
      <c r="C52" s="1">
        <v>5</v>
      </c>
      <c r="D52" s="1" t="s">
        <v>28</v>
      </c>
      <c r="E52" s="1" t="s">
        <v>74</v>
      </c>
      <c r="F52" s="1" t="s">
        <v>32</v>
      </c>
      <c r="G52" s="1" t="s">
        <v>89</v>
      </c>
      <c r="H52" s="1">
        <v>0</v>
      </c>
      <c r="I52" s="1">
        <v>2</v>
      </c>
      <c r="J52" s="1">
        <v>0</v>
      </c>
      <c r="K52" s="1">
        <v>3</v>
      </c>
      <c r="L52" s="1">
        <v>0</v>
      </c>
      <c r="M52" s="1">
        <v>0</v>
      </c>
      <c r="N52" s="1" t="s">
        <v>106</v>
      </c>
      <c r="P52" s="1" t="s">
        <v>74</v>
      </c>
    </row>
    <row r="53" ht="27" spans="1:16">
      <c r="A53" s="2">
        <f t="shared" si="0"/>
        <v>100406</v>
      </c>
      <c r="B53" s="2">
        <f t="shared" si="4"/>
        <v>1004</v>
      </c>
      <c r="C53" s="1">
        <v>6</v>
      </c>
      <c r="D53" s="1" t="s">
        <v>28</v>
      </c>
      <c r="E53" s="1" t="s">
        <v>74</v>
      </c>
      <c r="F53" s="1" t="s">
        <v>32</v>
      </c>
      <c r="G53" s="1" t="s">
        <v>89</v>
      </c>
      <c r="H53" s="1">
        <v>0</v>
      </c>
      <c r="I53" s="1">
        <v>2</v>
      </c>
      <c r="J53" s="1">
        <v>0</v>
      </c>
      <c r="K53" s="1">
        <v>3</v>
      </c>
      <c r="L53" s="1">
        <v>0</v>
      </c>
      <c r="M53" s="1">
        <v>0</v>
      </c>
      <c r="N53" s="1" t="s">
        <v>107</v>
      </c>
      <c r="P53" s="1" t="s">
        <v>74</v>
      </c>
    </row>
    <row r="54" ht="27" spans="1:16">
      <c r="A54" s="2">
        <f t="shared" si="0"/>
        <v>100407</v>
      </c>
      <c r="B54" s="2">
        <f t="shared" si="4"/>
        <v>1004</v>
      </c>
      <c r="C54" s="1">
        <v>7</v>
      </c>
      <c r="D54" s="1" t="s">
        <v>28</v>
      </c>
      <c r="E54" s="1" t="s">
        <v>74</v>
      </c>
      <c r="F54" s="1" t="s">
        <v>32</v>
      </c>
      <c r="G54" s="1" t="s">
        <v>89</v>
      </c>
      <c r="H54" s="1">
        <v>0</v>
      </c>
      <c r="I54" s="1">
        <v>2</v>
      </c>
      <c r="J54" s="1">
        <v>0</v>
      </c>
      <c r="K54" s="1">
        <v>3</v>
      </c>
      <c r="L54" s="1">
        <v>0</v>
      </c>
      <c r="M54" s="1">
        <v>0</v>
      </c>
      <c r="N54" s="1" t="s">
        <v>108</v>
      </c>
      <c r="P54" s="1" t="s">
        <v>74</v>
      </c>
    </row>
    <row r="55" spans="1:16">
      <c r="A55" s="2">
        <f t="shared" si="0"/>
        <v>100408</v>
      </c>
      <c r="B55" s="2">
        <f t="shared" si="4"/>
        <v>1004</v>
      </c>
      <c r="C55" s="1">
        <v>8</v>
      </c>
      <c r="D55" s="1" t="s">
        <v>28</v>
      </c>
      <c r="E55" s="1" t="s">
        <v>74</v>
      </c>
      <c r="F55" s="1" t="s">
        <v>32</v>
      </c>
      <c r="G55" s="1" t="s">
        <v>89</v>
      </c>
      <c r="H55" s="1">
        <v>0</v>
      </c>
      <c r="I55" s="1">
        <v>2</v>
      </c>
      <c r="J55" s="1">
        <v>0</v>
      </c>
      <c r="K55" s="1">
        <v>3</v>
      </c>
      <c r="L55" s="1">
        <v>0</v>
      </c>
      <c r="M55" s="1">
        <v>0</v>
      </c>
      <c r="N55" s="1" t="s">
        <v>109</v>
      </c>
      <c r="P55" s="1" t="s">
        <v>74</v>
      </c>
    </row>
    <row r="56" spans="1:16">
      <c r="A56" s="2">
        <f t="shared" si="0"/>
        <v>100409</v>
      </c>
      <c r="B56" s="2">
        <f t="shared" si="4"/>
        <v>1004</v>
      </c>
      <c r="C56" s="1">
        <v>9</v>
      </c>
      <c r="D56" s="1" t="s">
        <v>28</v>
      </c>
      <c r="E56" s="1" t="s">
        <v>74</v>
      </c>
      <c r="F56" s="1" t="s">
        <v>32</v>
      </c>
      <c r="G56" s="1" t="s">
        <v>89</v>
      </c>
      <c r="H56" s="1">
        <v>0</v>
      </c>
      <c r="I56" s="1">
        <v>2</v>
      </c>
      <c r="J56" s="1">
        <v>0</v>
      </c>
      <c r="K56" s="1">
        <v>3</v>
      </c>
      <c r="L56" s="1">
        <v>0</v>
      </c>
      <c r="M56" s="1">
        <v>0</v>
      </c>
      <c r="N56" s="1" t="s">
        <v>110</v>
      </c>
      <c r="P56" s="1" t="s">
        <v>74</v>
      </c>
    </row>
    <row r="57" spans="1:16">
      <c r="A57" s="2">
        <f t="shared" si="0"/>
        <v>100410</v>
      </c>
      <c r="B57" s="2">
        <f t="shared" si="4"/>
        <v>1004</v>
      </c>
      <c r="C57" s="1">
        <v>10</v>
      </c>
      <c r="D57" s="1" t="s">
        <v>28</v>
      </c>
      <c r="E57" s="1" t="s">
        <v>74</v>
      </c>
      <c r="F57" s="1" t="s">
        <v>32</v>
      </c>
      <c r="G57" s="1" t="s">
        <v>89</v>
      </c>
      <c r="H57" s="1">
        <v>0</v>
      </c>
      <c r="I57" s="1">
        <v>2</v>
      </c>
      <c r="J57" s="1">
        <v>0</v>
      </c>
      <c r="K57" s="1">
        <v>3</v>
      </c>
      <c r="L57" s="1">
        <v>0</v>
      </c>
      <c r="M57" s="1">
        <v>0</v>
      </c>
      <c r="N57" s="1" t="s">
        <v>111</v>
      </c>
      <c r="P57" s="1" t="s">
        <v>74</v>
      </c>
    </row>
    <row r="58" spans="1:16">
      <c r="A58" s="2">
        <f t="shared" si="0"/>
        <v>100500</v>
      </c>
      <c r="B58" s="2">
        <f>B47+1</f>
        <v>1005</v>
      </c>
      <c r="C58" s="1">
        <v>0</v>
      </c>
      <c r="D58" s="1" t="s">
        <v>34</v>
      </c>
      <c r="E58" s="1" t="s">
        <v>74</v>
      </c>
      <c r="F58" s="1" t="s">
        <v>38</v>
      </c>
      <c r="G58" s="1" t="s">
        <v>75</v>
      </c>
      <c r="H58" s="1">
        <v>0</v>
      </c>
      <c r="I58" s="1">
        <v>3</v>
      </c>
      <c r="J58" s="1">
        <v>0</v>
      </c>
      <c r="K58" s="1">
        <v>3</v>
      </c>
      <c r="L58" s="1">
        <v>103</v>
      </c>
      <c r="M58" s="1">
        <v>30</v>
      </c>
      <c r="N58" s="1" t="s">
        <v>74</v>
      </c>
      <c r="O58" s="1" t="s">
        <v>74</v>
      </c>
      <c r="P58" s="1" t="s">
        <v>74</v>
      </c>
    </row>
    <row r="59" spans="1:16">
      <c r="A59" s="2">
        <f t="shared" si="0"/>
        <v>100501</v>
      </c>
      <c r="B59" s="2">
        <f t="shared" ref="B59:B68" si="5">B58</f>
        <v>1005</v>
      </c>
      <c r="C59" s="1">
        <v>1</v>
      </c>
      <c r="D59" s="1" t="s">
        <v>34</v>
      </c>
      <c r="E59" s="1" t="s">
        <v>74</v>
      </c>
      <c r="F59" s="1" t="s">
        <v>38</v>
      </c>
      <c r="G59" s="1" t="s">
        <v>75</v>
      </c>
      <c r="H59" s="1">
        <v>1000</v>
      </c>
      <c r="I59" s="1">
        <v>3</v>
      </c>
      <c r="J59" s="1">
        <v>20</v>
      </c>
      <c r="K59" s="1">
        <v>3</v>
      </c>
      <c r="L59" s="1">
        <v>103</v>
      </c>
      <c r="M59" s="1">
        <v>30</v>
      </c>
      <c r="N59" s="1">
        <v>60021</v>
      </c>
      <c r="O59" s="1" t="s">
        <v>74</v>
      </c>
      <c r="P59" s="1">
        <v>202001</v>
      </c>
    </row>
    <row r="60" spans="1:16">
      <c r="A60" s="2">
        <f t="shared" si="0"/>
        <v>100502</v>
      </c>
      <c r="B60" s="2">
        <f t="shared" si="5"/>
        <v>1005</v>
      </c>
      <c r="C60" s="1">
        <v>2</v>
      </c>
      <c r="D60" s="1" t="s">
        <v>34</v>
      </c>
      <c r="E60" s="1" t="s">
        <v>74</v>
      </c>
      <c r="F60" s="1" t="s">
        <v>38</v>
      </c>
      <c r="G60" s="1" t="s">
        <v>75</v>
      </c>
      <c r="H60" s="1">
        <v>2000</v>
      </c>
      <c r="I60" s="1">
        <v>3</v>
      </c>
      <c r="J60" s="1">
        <v>20</v>
      </c>
      <c r="K60" s="1">
        <v>3</v>
      </c>
      <c r="L60" s="1">
        <v>103</v>
      </c>
      <c r="M60" s="1">
        <v>30</v>
      </c>
      <c r="N60" s="1">
        <v>60022</v>
      </c>
      <c r="O60" s="1" t="s">
        <v>74</v>
      </c>
      <c r="P60" s="1">
        <v>202001</v>
      </c>
    </row>
    <row r="61" spans="1:16">
      <c r="A61" s="2">
        <f t="shared" si="0"/>
        <v>100503</v>
      </c>
      <c r="B61" s="2">
        <f t="shared" si="5"/>
        <v>1005</v>
      </c>
      <c r="C61" s="1">
        <v>3</v>
      </c>
      <c r="D61" s="1" t="s">
        <v>34</v>
      </c>
      <c r="E61" s="1" t="s">
        <v>74</v>
      </c>
      <c r="F61" s="1" t="s">
        <v>38</v>
      </c>
      <c r="G61" s="1" t="s">
        <v>75</v>
      </c>
      <c r="H61" s="1">
        <v>3000</v>
      </c>
      <c r="I61" s="1">
        <v>3</v>
      </c>
      <c r="J61" s="1">
        <v>20</v>
      </c>
      <c r="K61" s="1">
        <v>3</v>
      </c>
      <c r="L61" s="1">
        <v>103</v>
      </c>
      <c r="M61" s="1">
        <v>30</v>
      </c>
      <c r="N61" s="1">
        <v>60023</v>
      </c>
      <c r="O61" s="2">
        <v>70300</v>
      </c>
      <c r="P61" s="1">
        <v>202001</v>
      </c>
    </row>
    <row r="62" spans="1:16">
      <c r="A62" s="2">
        <f t="shared" si="0"/>
        <v>100504</v>
      </c>
      <c r="B62" s="2">
        <f t="shared" si="5"/>
        <v>1005</v>
      </c>
      <c r="C62" s="1">
        <v>4</v>
      </c>
      <c r="D62" s="1" t="s">
        <v>34</v>
      </c>
      <c r="E62" s="1" t="s">
        <v>74</v>
      </c>
      <c r="F62" s="1" t="s">
        <v>38</v>
      </c>
      <c r="G62" s="1" t="s">
        <v>75</v>
      </c>
      <c r="H62" s="1">
        <v>4000</v>
      </c>
      <c r="I62" s="1">
        <v>3</v>
      </c>
      <c r="J62" s="1">
        <v>20</v>
      </c>
      <c r="K62" s="1">
        <v>3</v>
      </c>
      <c r="L62" s="1">
        <v>103</v>
      </c>
      <c r="M62" s="1">
        <v>30</v>
      </c>
      <c r="N62" s="1">
        <v>60024</v>
      </c>
      <c r="O62" s="2">
        <v>70300</v>
      </c>
      <c r="P62" s="1">
        <v>202001</v>
      </c>
    </row>
    <row r="63" spans="1:16">
      <c r="A63" s="2">
        <f t="shared" si="0"/>
        <v>100505</v>
      </c>
      <c r="B63" s="2">
        <f t="shared" si="5"/>
        <v>1005</v>
      </c>
      <c r="C63" s="1">
        <v>5</v>
      </c>
      <c r="D63" s="1" t="s">
        <v>34</v>
      </c>
      <c r="E63" s="1" t="s">
        <v>74</v>
      </c>
      <c r="F63" s="1" t="s">
        <v>38</v>
      </c>
      <c r="G63" s="1" t="s">
        <v>75</v>
      </c>
      <c r="H63" s="1">
        <v>5000</v>
      </c>
      <c r="I63" s="1">
        <v>3</v>
      </c>
      <c r="J63" s="1">
        <v>20</v>
      </c>
      <c r="K63" s="1">
        <v>3</v>
      </c>
      <c r="L63" s="1">
        <v>103</v>
      </c>
      <c r="M63" s="1">
        <v>30</v>
      </c>
      <c r="N63" s="1">
        <v>60025</v>
      </c>
      <c r="O63" s="2">
        <v>70300</v>
      </c>
      <c r="P63" s="1">
        <v>202002</v>
      </c>
    </row>
    <row r="64" spans="1:16">
      <c r="A64" s="2">
        <f t="shared" si="0"/>
        <v>100506</v>
      </c>
      <c r="B64" s="2">
        <f t="shared" si="5"/>
        <v>1005</v>
      </c>
      <c r="C64" s="1">
        <v>6</v>
      </c>
      <c r="D64" s="1" t="s">
        <v>34</v>
      </c>
      <c r="E64" s="1" t="s">
        <v>74</v>
      </c>
      <c r="F64" s="1" t="s">
        <v>38</v>
      </c>
      <c r="G64" s="1" t="s">
        <v>75</v>
      </c>
      <c r="H64" s="1">
        <v>6000</v>
      </c>
      <c r="I64" s="1">
        <v>3</v>
      </c>
      <c r="J64" s="1">
        <v>20</v>
      </c>
      <c r="K64" s="1">
        <v>3</v>
      </c>
      <c r="L64" s="1">
        <v>103</v>
      </c>
      <c r="M64" s="1">
        <v>30</v>
      </c>
      <c r="N64" s="1">
        <v>60026</v>
      </c>
      <c r="O64" s="2">
        <v>70300</v>
      </c>
      <c r="P64" s="1">
        <v>202002</v>
      </c>
    </row>
    <row r="65" spans="1:17">
      <c r="A65" s="2">
        <f t="shared" si="0"/>
        <v>100507</v>
      </c>
      <c r="B65" s="2">
        <f t="shared" si="5"/>
        <v>1005</v>
      </c>
      <c r="C65" s="1">
        <v>7</v>
      </c>
      <c r="D65" s="1" t="s">
        <v>34</v>
      </c>
      <c r="E65" s="1" t="s">
        <v>74</v>
      </c>
      <c r="F65" s="1" t="s">
        <v>38</v>
      </c>
      <c r="G65" s="1" t="s">
        <v>75</v>
      </c>
      <c r="H65" s="1">
        <v>7000</v>
      </c>
      <c r="I65" s="1">
        <v>3</v>
      </c>
      <c r="J65" s="1">
        <v>20</v>
      </c>
      <c r="K65" s="1">
        <v>3</v>
      </c>
      <c r="L65" s="1">
        <v>103</v>
      </c>
      <c r="M65" s="1">
        <v>30</v>
      </c>
      <c r="N65" s="1">
        <v>60027</v>
      </c>
      <c r="O65" s="2">
        <v>70300</v>
      </c>
      <c r="P65" s="1">
        <v>202002</v>
      </c>
    </row>
    <row r="66" spans="1:17">
      <c r="A66" s="2">
        <f t="shared" si="0"/>
        <v>100508</v>
      </c>
      <c r="B66" s="2">
        <f t="shared" si="5"/>
        <v>1005</v>
      </c>
      <c r="C66" s="1">
        <v>8</v>
      </c>
      <c r="D66" s="1" t="s">
        <v>34</v>
      </c>
      <c r="E66" s="1" t="s">
        <v>74</v>
      </c>
      <c r="F66" s="1" t="s">
        <v>38</v>
      </c>
      <c r="G66" s="1" t="s">
        <v>75</v>
      </c>
      <c r="H66" s="1">
        <v>8000</v>
      </c>
      <c r="I66" s="1">
        <v>3</v>
      </c>
      <c r="J66" s="1">
        <v>20</v>
      </c>
      <c r="K66" s="1">
        <v>3</v>
      </c>
      <c r="L66" s="1">
        <v>103</v>
      </c>
      <c r="M66" s="1">
        <v>30</v>
      </c>
      <c r="N66" s="1">
        <v>60028</v>
      </c>
      <c r="O66" s="2">
        <v>70300</v>
      </c>
      <c r="P66" s="1">
        <v>202002</v>
      </c>
    </row>
    <row r="67" spans="1:17">
      <c r="A67" s="2">
        <f t="shared" ref="A67:A104" si="6">B67*100+C67</f>
        <v>100509</v>
      </c>
      <c r="B67" s="2">
        <f t="shared" si="5"/>
        <v>1005</v>
      </c>
      <c r="C67" s="1">
        <v>9</v>
      </c>
      <c r="D67" s="1" t="s">
        <v>34</v>
      </c>
      <c r="E67" s="1" t="s">
        <v>74</v>
      </c>
      <c r="F67" s="1" t="s">
        <v>38</v>
      </c>
      <c r="G67" s="1" t="s">
        <v>75</v>
      </c>
      <c r="H67" s="1">
        <v>9000</v>
      </c>
      <c r="I67" s="1">
        <v>3</v>
      </c>
      <c r="J67" s="1">
        <v>20</v>
      </c>
      <c r="K67" s="1">
        <v>3</v>
      </c>
      <c r="L67" s="1">
        <v>103</v>
      </c>
      <c r="M67" s="1">
        <v>30</v>
      </c>
      <c r="N67" s="1">
        <v>60029</v>
      </c>
      <c r="O67" s="2">
        <v>70300</v>
      </c>
      <c r="P67" s="1">
        <v>202002</v>
      </c>
    </row>
    <row r="68" spans="1:17">
      <c r="A68" s="2">
        <f t="shared" si="6"/>
        <v>100510</v>
      </c>
      <c r="B68" s="2">
        <f t="shared" si="5"/>
        <v>1005</v>
      </c>
      <c r="C68" s="1">
        <v>10</v>
      </c>
      <c r="D68" s="1" t="s">
        <v>34</v>
      </c>
      <c r="E68" s="1" t="s">
        <v>74</v>
      </c>
      <c r="F68" s="1" t="s">
        <v>38</v>
      </c>
      <c r="G68" s="1" t="s">
        <v>75</v>
      </c>
      <c r="H68" s="1">
        <v>10000</v>
      </c>
      <c r="I68" s="1">
        <v>3</v>
      </c>
      <c r="J68" s="1">
        <v>20</v>
      </c>
      <c r="K68" s="1">
        <v>3</v>
      </c>
      <c r="L68" s="1">
        <v>103</v>
      </c>
      <c r="M68" s="1">
        <v>30</v>
      </c>
      <c r="N68" s="1">
        <v>60030</v>
      </c>
      <c r="O68" s="2">
        <v>70300</v>
      </c>
      <c r="P68" s="1" t="s">
        <v>112</v>
      </c>
      <c r="Q68" s="1">
        <v>16</v>
      </c>
    </row>
    <row r="69" spans="1:17">
      <c r="A69" s="2">
        <f t="shared" si="6"/>
        <v>100600</v>
      </c>
      <c r="B69" s="2">
        <f>B58+1</f>
        <v>1006</v>
      </c>
      <c r="C69" s="1">
        <v>0</v>
      </c>
      <c r="D69" s="1" t="s">
        <v>40</v>
      </c>
      <c r="E69" s="1" t="s">
        <v>74</v>
      </c>
      <c r="F69" s="1" t="s">
        <v>44</v>
      </c>
      <c r="G69" s="1" t="s">
        <v>113</v>
      </c>
      <c r="H69" s="1">
        <v>0</v>
      </c>
      <c r="I69" s="1">
        <v>3</v>
      </c>
      <c r="J69" s="1">
        <v>0</v>
      </c>
      <c r="K69" s="1">
        <v>3</v>
      </c>
      <c r="L69" s="1">
        <v>104</v>
      </c>
      <c r="M69" s="1">
        <v>0</v>
      </c>
      <c r="N69" s="1" t="s">
        <v>74</v>
      </c>
      <c r="O69" s="1" t="s">
        <v>74</v>
      </c>
      <c r="P69" s="1" t="s">
        <v>74</v>
      </c>
    </row>
    <row r="70" spans="1:17">
      <c r="A70" s="2">
        <f t="shared" si="6"/>
        <v>100601</v>
      </c>
      <c r="B70" s="2">
        <f t="shared" ref="B70:B79" si="7">B69</f>
        <v>1006</v>
      </c>
      <c r="C70" s="1">
        <v>1</v>
      </c>
      <c r="D70" s="1" t="s">
        <v>40</v>
      </c>
      <c r="E70" s="1" t="s">
        <v>74</v>
      </c>
      <c r="F70" s="1" t="s">
        <v>44</v>
      </c>
      <c r="G70" s="1" t="s">
        <v>113</v>
      </c>
      <c r="H70" s="1">
        <v>0</v>
      </c>
      <c r="I70" s="1">
        <v>3</v>
      </c>
      <c r="J70" s="1">
        <v>0</v>
      </c>
      <c r="K70" s="1">
        <v>3</v>
      </c>
      <c r="L70" s="1">
        <v>104</v>
      </c>
      <c r="M70" s="1">
        <v>0</v>
      </c>
      <c r="N70" s="1" t="s">
        <v>114</v>
      </c>
      <c r="O70" s="1" t="s">
        <v>74</v>
      </c>
      <c r="P70" s="1" t="s">
        <v>74</v>
      </c>
    </row>
    <row r="71" spans="1:17">
      <c r="A71" s="2">
        <f t="shared" si="6"/>
        <v>100602</v>
      </c>
      <c r="B71" s="2">
        <f t="shared" si="7"/>
        <v>1006</v>
      </c>
      <c r="C71" s="1">
        <v>2</v>
      </c>
      <c r="D71" s="1" t="s">
        <v>40</v>
      </c>
      <c r="E71" s="1" t="s">
        <v>74</v>
      </c>
      <c r="F71" s="1" t="s">
        <v>44</v>
      </c>
      <c r="G71" s="1" t="s">
        <v>113</v>
      </c>
      <c r="H71" s="1">
        <v>0</v>
      </c>
      <c r="I71" s="1">
        <v>3</v>
      </c>
      <c r="J71" s="1">
        <v>0</v>
      </c>
      <c r="K71" s="1">
        <v>3</v>
      </c>
      <c r="L71" s="1">
        <v>104</v>
      </c>
      <c r="M71" s="1">
        <v>0</v>
      </c>
      <c r="N71" s="1" t="s">
        <v>115</v>
      </c>
      <c r="O71" s="1" t="s">
        <v>74</v>
      </c>
      <c r="P71" s="1" t="s">
        <v>74</v>
      </c>
    </row>
    <row r="72" ht="27" spans="1:17">
      <c r="A72" s="2">
        <f t="shared" si="6"/>
        <v>100603</v>
      </c>
      <c r="B72" s="2">
        <f t="shared" si="7"/>
        <v>1006</v>
      </c>
      <c r="C72" s="1">
        <v>3</v>
      </c>
      <c r="D72" s="1" t="s">
        <v>40</v>
      </c>
      <c r="E72" s="1" t="s">
        <v>74</v>
      </c>
      <c r="F72" s="1" t="s">
        <v>44</v>
      </c>
      <c r="G72" s="1" t="s">
        <v>113</v>
      </c>
      <c r="H72" s="1">
        <v>0</v>
      </c>
      <c r="I72" s="1">
        <v>3</v>
      </c>
      <c r="J72" s="1">
        <v>0</v>
      </c>
      <c r="K72" s="1">
        <v>3</v>
      </c>
      <c r="L72" s="1">
        <v>104</v>
      </c>
      <c r="M72" s="1">
        <v>0</v>
      </c>
      <c r="N72" s="1" t="s">
        <v>116</v>
      </c>
      <c r="O72" s="1" t="s">
        <v>74</v>
      </c>
      <c r="P72" s="1" t="s">
        <v>74</v>
      </c>
    </row>
    <row r="73" ht="27" spans="1:17">
      <c r="A73" s="2">
        <f t="shared" si="6"/>
        <v>100604</v>
      </c>
      <c r="B73" s="2">
        <f t="shared" si="7"/>
        <v>1006</v>
      </c>
      <c r="C73" s="1">
        <v>4</v>
      </c>
      <c r="D73" s="1" t="s">
        <v>40</v>
      </c>
      <c r="E73" s="1" t="s">
        <v>74</v>
      </c>
      <c r="F73" s="1" t="s">
        <v>44</v>
      </c>
      <c r="G73" s="1" t="s">
        <v>113</v>
      </c>
      <c r="H73" s="1">
        <v>0</v>
      </c>
      <c r="I73" s="1">
        <v>3</v>
      </c>
      <c r="J73" s="1">
        <v>0</v>
      </c>
      <c r="K73" s="1">
        <v>3</v>
      </c>
      <c r="L73" s="1">
        <v>104</v>
      </c>
      <c r="M73" s="1">
        <v>0</v>
      </c>
      <c r="N73" s="1" t="s">
        <v>117</v>
      </c>
      <c r="O73" s="1" t="s">
        <v>74</v>
      </c>
      <c r="P73" s="1" t="s">
        <v>74</v>
      </c>
    </row>
    <row r="74" ht="27" spans="1:17">
      <c r="A74" s="2">
        <f t="shared" si="6"/>
        <v>100605</v>
      </c>
      <c r="B74" s="2">
        <f t="shared" si="7"/>
        <v>1006</v>
      </c>
      <c r="C74" s="1">
        <v>5</v>
      </c>
      <c r="D74" s="1" t="s">
        <v>40</v>
      </c>
      <c r="E74" s="1" t="s">
        <v>74</v>
      </c>
      <c r="F74" s="1" t="s">
        <v>44</v>
      </c>
      <c r="G74" s="1" t="s">
        <v>113</v>
      </c>
      <c r="H74" s="1">
        <v>0</v>
      </c>
      <c r="I74" s="1">
        <v>3</v>
      </c>
      <c r="J74" s="1">
        <v>0</v>
      </c>
      <c r="K74" s="1">
        <v>3</v>
      </c>
      <c r="L74" s="1">
        <v>104</v>
      </c>
      <c r="M74" s="1">
        <v>0</v>
      </c>
      <c r="N74" s="1" t="s">
        <v>118</v>
      </c>
      <c r="O74" s="1" t="s">
        <v>74</v>
      </c>
      <c r="P74" s="1" t="s">
        <v>74</v>
      </c>
    </row>
    <row r="75" ht="27" spans="1:17">
      <c r="A75" s="2">
        <f t="shared" si="6"/>
        <v>100606</v>
      </c>
      <c r="B75" s="2">
        <f t="shared" si="7"/>
        <v>1006</v>
      </c>
      <c r="C75" s="1">
        <v>6</v>
      </c>
      <c r="D75" s="1" t="s">
        <v>40</v>
      </c>
      <c r="E75" s="1" t="s">
        <v>74</v>
      </c>
      <c r="F75" s="1" t="s">
        <v>44</v>
      </c>
      <c r="G75" s="1" t="s">
        <v>113</v>
      </c>
      <c r="H75" s="1">
        <v>0</v>
      </c>
      <c r="I75" s="1">
        <v>3</v>
      </c>
      <c r="J75" s="1">
        <v>0</v>
      </c>
      <c r="K75" s="1">
        <v>3</v>
      </c>
      <c r="L75" s="1">
        <v>104</v>
      </c>
      <c r="M75" s="1">
        <v>0</v>
      </c>
      <c r="N75" s="1" t="s">
        <v>119</v>
      </c>
      <c r="O75" s="1" t="s">
        <v>74</v>
      </c>
    </row>
    <row r="76" ht="27" spans="1:17">
      <c r="A76" s="2">
        <f t="shared" si="6"/>
        <v>100607</v>
      </c>
      <c r="B76" s="2">
        <f t="shared" si="7"/>
        <v>1006</v>
      </c>
      <c r="C76" s="1">
        <v>7</v>
      </c>
      <c r="D76" s="1" t="s">
        <v>40</v>
      </c>
      <c r="E76" s="1" t="s">
        <v>74</v>
      </c>
      <c r="F76" s="1" t="s">
        <v>44</v>
      </c>
      <c r="G76" s="1" t="s">
        <v>113</v>
      </c>
      <c r="H76" s="1">
        <v>0</v>
      </c>
      <c r="I76" s="1">
        <v>3</v>
      </c>
      <c r="J76" s="1">
        <v>0</v>
      </c>
      <c r="K76" s="1">
        <v>3</v>
      </c>
      <c r="L76" s="1">
        <v>104</v>
      </c>
      <c r="M76" s="1">
        <v>0</v>
      </c>
      <c r="N76" s="1" t="s">
        <v>120</v>
      </c>
      <c r="O76" s="1" t="s">
        <v>74</v>
      </c>
    </row>
    <row r="77" ht="27" spans="1:17">
      <c r="A77" s="2">
        <f t="shared" si="6"/>
        <v>100608</v>
      </c>
      <c r="B77" s="2">
        <f t="shared" si="7"/>
        <v>1006</v>
      </c>
      <c r="C77" s="1">
        <v>8</v>
      </c>
      <c r="D77" s="1" t="s">
        <v>40</v>
      </c>
      <c r="E77" s="1" t="s">
        <v>74</v>
      </c>
      <c r="F77" s="1" t="s">
        <v>44</v>
      </c>
      <c r="G77" s="1" t="s">
        <v>113</v>
      </c>
      <c r="H77" s="1">
        <v>0</v>
      </c>
      <c r="I77" s="1">
        <v>3</v>
      </c>
      <c r="J77" s="1">
        <v>0</v>
      </c>
      <c r="K77" s="1">
        <v>3</v>
      </c>
      <c r="L77" s="1">
        <v>104</v>
      </c>
      <c r="M77" s="1">
        <v>0</v>
      </c>
      <c r="N77" s="1" t="s">
        <v>121</v>
      </c>
      <c r="O77" s="1" t="s">
        <v>74</v>
      </c>
    </row>
    <row r="78" ht="27" spans="1:17">
      <c r="A78" s="2">
        <f t="shared" si="6"/>
        <v>100609</v>
      </c>
      <c r="B78" s="2">
        <f t="shared" si="7"/>
        <v>1006</v>
      </c>
      <c r="C78" s="1">
        <v>9</v>
      </c>
      <c r="D78" s="1" t="s">
        <v>40</v>
      </c>
      <c r="E78" s="1" t="s">
        <v>74</v>
      </c>
      <c r="F78" s="1" t="s">
        <v>44</v>
      </c>
      <c r="G78" s="1" t="s">
        <v>113</v>
      </c>
      <c r="H78" s="1">
        <v>0</v>
      </c>
      <c r="I78" s="1">
        <v>3</v>
      </c>
      <c r="J78" s="1">
        <v>0</v>
      </c>
      <c r="K78" s="1">
        <v>3</v>
      </c>
      <c r="L78" s="1">
        <v>104</v>
      </c>
      <c r="M78" s="1">
        <v>0</v>
      </c>
      <c r="N78" s="1" t="s">
        <v>122</v>
      </c>
      <c r="O78" s="1" t="s">
        <v>74</v>
      </c>
    </row>
    <row r="79" ht="27" spans="1:17">
      <c r="A79" s="2">
        <f t="shared" si="6"/>
        <v>100610</v>
      </c>
      <c r="B79" s="2">
        <f t="shared" si="7"/>
        <v>1006</v>
      </c>
      <c r="C79" s="1">
        <v>10</v>
      </c>
      <c r="D79" s="1" t="s">
        <v>40</v>
      </c>
      <c r="E79" s="1" t="s">
        <v>74</v>
      </c>
      <c r="F79" s="1" t="s">
        <v>44</v>
      </c>
      <c r="G79" s="1" t="s">
        <v>113</v>
      </c>
      <c r="H79" s="1">
        <v>0</v>
      </c>
      <c r="I79" s="1">
        <v>3</v>
      </c>
      <c r="J79" s="1">
        <v>0</v>
      </c>
      <c r="K79" s="1">
        <v>3</v>
      </c>
      <c r="L79" s="1">
        <v>104</v>
      </c>
      <c r="M79" s="1">
        <v>0</v>
      </c>
      <c r="N79" s="1" t="s">
        <v>123</v>
      </c>
    </row>
    <row r="80" spans="1:17">
      <c r="A80" s="2">
        <f t="shared" si="6"/>
        <v>100700</v>
      </c>
      <c r="B80" s="2">
        <f>B69+1</f>
        <v>1007</v>
      </c>
      <c r="C80" s="1">
        <v>0</v>
      </c>
      <c r="D80" s="1" t="s">
        <v>46</v>
      </c>
      <c r="E80" s="1" t="s">
        <v>74</v>
      </c>
      <c r="F80" s="1" t="s">
        <v>50</v>
      </c>
      <c r="G80" s="1" t="s">
        <v>83</v>
      </c>
      <c r="H80" s="1">
        <v>0</v>
      </c>
      <c r="I80" s="1">
        <v>4</v>
      </c>
      <c r="J80" s="1">
        <v>0</v>
      </c>
      <c r="K80" s="1">
        <v>3</v>
      </c>
      <c r="L80" s="1">
        <v>0</v>
      </c>
      <c r="M80" s="1">
        <v>0</v>
      </c>
      <c r="N80" s="1" t="s">
        <v>74</v>
      </c>
      <c r="O80" s="1" t="s">
        <v>74</v>
      </c>
      <c r="P80" s="1" t="s">
        <v>74</v>
      </c>
    </row>
    <row r="81" spans="1:16">
      <c r="A81" s="2">
        <f t="shared" si="6"/>
        <v>100701</v>
      </c>
      <c r="B81" s="2">
        <f t="shared" ref="B81:B90" si="8">B80</f>
        <v>1007</v>
      </c>
      <c r="C81" s="1">
        <v>1</v>
      </c>
      <c r="D81" s="1" t="s">
        <v>46</v>
      </c>
      <c r="E81" s="1" t="s">
        <v>74</v>
      </c>
      <c r="F81" s="1" t="s">
        <v>50</v>
      </c>
      <c r="G81" s="1" t="s">
        <v>83</v>
      </c>
      <c r="H81" s="1">
        <v>3000</v>
      </c>
      <c r="I81" s="1">
        <v>4</v>
      </c>
      <c r="J81" s="1">
        <v>0</v>
      </c>
      <c r="K81" s="1">
        <v>3</v>
      </c>
      <c r="L81" s="1">
        <v>0</v>
      </c>
      <c r="M81" s="1">
        <v>0</v>
      </c>
      <c r="N81" s="1">
        <v>60031</v>
      </c>
      <c r="O81" s="1">
        <v>40005</v>
      </c>
      <c r="P81" s="1" t="s">
        <v>74</v>
      </c>
    </row>
    <row r="82" spans="1:16">
      <c r="A82" s="2">
        <f t="shared" si="6"/>
        <v>100702</v>
      </c>
      <c r="B82" s="2">
        <f t="shared" si="8"/>
        <v>1007</v>
      </c>
      <c r="C82" s="1">
        <v>2</v>
      </c>
      <c r="D82" s="1" t="s">
        <v>46</v>
      </c>
      <c r="E82" s="1" t="s">
        <v>74</v>
      </c>
      <c r="F82" s="1" t="s">
        <v>50</v>
      </c>
      <c r="G82" s="1" t="s">
        <v>83</v>
      </c>
      <c r="H82" s="1">
        <v>3500</v>
      </c>
      <c r="I82" s="1">
        <v>4</v>
      </c>
      <c r="J82" s="1">
        <v>0</v>
      </c>
      <c r="K82" s="1">
        <v>3</v>
      </c>
      <c r="L82" s="1">
        <v>0</v>
      </c>
      <c r="M82" s="1">
        <v>0</v>
      </c>
      <c r="N82" s="1">
        <v>60032</v>
      </c>
      <c r="O82" s="1">
        <v>40005</v>
      </c>
      <c r="P82" s="1" t="s">
        <v>74</v>
      </c>
    </row>
    <row r="83" spans="1:16">
      <c r="A83" s="2">
        <f t="shared" si="6"/>
        <v>100703</v>
      </c>
      <c r="B83" s="2">
        <f t="shared" si="8"/>
        <v>1007</v>
      </c>
      <c r="C83" s="1">
        <v>3</v>
      </c>
      <c r="D83" s="1" t="s">
        <v>46</v>
      </c>
      <c r="E83" s="1" t="s">
        <v>74</v>
      </c>
      <c r="F83" s="1" t="s">
        <v>50</v>
      </c>
      <c r="G83" s="1" t="s">
        <v>83</v>
      </c>
      <c r="H83" s="1">
        <v>4000</v>
      </c>
      <c r="I83" s="1">
        <v>4</v>
      </c>
      <c r="J83" s="1">
        <v>0</v>
      </c>
      <c r="K83" s="1">
        <v>3</v>
      </c>
      <c r="L83" s="1">
        <v>0</v>
      </c>
      <c r="M83" s="1">
        <v>0</v>
      </c>
      <c r="N83" s="1">
        <v>60033</v>
      </c>
      <c r="O83" s="1" t="s">
        <v>124</v>
      </c>
      <c r="P83" s="1" t="s">
        <v>74</v>
      </c>
    </row>
    <row r="84" spans="1:16">
      <c r="A84" s="2">
        <f t="shared" si="6"/>
        <v>100704</v>
      </c>
      <c r="B84" s="2">
        <f t="shared" si="8"/>
        <v>1007</v>
      </c>
      <c r="C84" s="1">
        <v>4</v>
      </c>
      <c r="D84" s="1" t="s">
        <v>46</v>
      </c>
      <c r="E84" s="1" t="s">
        <v>74</v>
      </c>
      <c r="F84" s="1" t="s">
        <v>50</v>
      </c>
      <c r="G84" s="1" t="s">
        <v>83</v>
      </c>
      <c r="H84" s="1">
        <v>4500</v>
      </c>
      <c r="I84" s="1">
        <v>4</v>
      </c>
      <c r="J84" s="1">
        <v>0</v>
      </c>
      <c r="K84" s="1">
        <v>3</v>
      </c>
      <c r="L84" s="1">
        <v>0</v>
      </c>
      <c r="M84" s="1">
        <v>0</v>
      </c>
      <c r="N84" s="1">
        <v>60034</v>
      </c>
      <c r="O84" s="1" t="s">
        <v>124</v>
      </c>
      <c r="P84" s="1" t="s">
        <v>74</v>
      </c>
    </row>
    <row r="85" spans="1:16">
      <c r="A85" s="2">
        <f t="shared" si="6"/>
        <v>100705</v>
      </c>
      <c r="B85" s="2">
        <f t="shared" si="8"/>
        <v>1007</v>
      </c>
      <c r="C85" s="1">
        <v>5</v>
      </c>
      <c r="D85" s="1" t="s">
        <v>46</v>
      </c>
      <c r="E85" s="1" t="s">
        <v>74</v>
      </c>
      <c r="F85" s="1" t="s">
        <v>50</v>
      </c>
      <c r="G85" s="1" t="s">
        <v>83</v>
      </c>
      <c r="H85" s="1">
        <v>5000</v>
      </c>
      <c r="I85" s="1">
        <v>4</v>
      </c>
      <c r="J85" s="1">
        <v>0</v>
      </c>
      <c r="K85" s="1">
        <v>3</v>
      </c>
      <c r="L85" s="1">
        <v>0</v>
      </c>
      <c r="M85" s="1">
        <v>0</v>
      </c>
      <c r="N85" s="1">
        <v>60035</v>
      </c>
      <c r="O85" s="1" t="s">
        <v>124</v>
      </c>
      <c r="P85" s="1" t="s">
        <v>74</v>
      </c>
    </row>
    <row r="86" spans="1:16">
      <c r="A86" s="2">
        <f t="shared" si="6"/>
        <v>100706</v>
      </c>
      <c r="B86" s="2">
        <f t="shared" si="8"/>
        <v>1007</v>
      </c>
      <c r="C86" s="1">
        <v>6</v>
      </c>
      <c r="D86" s="1" t="s">
        <v>46</v>
      </c>
      <c r="E86" s="1" t="s">
        <v>74</v>
      </c>
      <c r="F86" s="1" t="s">
        <v>50</v>
      </c>
      <c r="G86" s="1" t="s">
        <v>83</v>
      </c>
      <c r="H86" s="1">
        <v>5500</v>
      </c>
      <c r="I86" s="1">
        <v>4</v>
      </c>
      <c r="J86" s="1">
        <v>0</v>
      </c>
      <c r="K86" s="1">
        <v>3</v>
      </c>
      <c r="L86" s="1">
        <v>0</v>
      </c>
      <c r="M86" s="1">
        <v>0</v>
      </c>
      <c r="N86" s="1">
        <v>60036</v>
      </c>
      <c r="O86" s="1" t="s">
        <v>124</v>
      </c>
      <c r="P86" s="1" t="s">
        <v>74</v>
      </c>
    </row>
    <row r="87" spans="1:16">
      <c r="A87" s="2">
        <f t="shared" si="6"/>
        <v>100707</v>
      </c>
      <c r="B87" s="2">
        <f t="shared" si="8"/>
        <v>1007</v>
      </c>
      <c r="C87" s="1">
        <v>7</v>
      </c>
      <c r="D87" s="1" t="s">
        <v>46</v>
      </c>
      <c r="E87" s="1" t="s">
        <v>74</v>
      </c>
      <c r="F87" s="1" t="s">
        <v>50</v>
      </c>
      <c r="G87" s="1" t="s">
        <v>83</v>
      </c>
      <c r="H87" s="1">
        <v>6000</v>
      </c>
      <c r="I87" s="1">
        <v>4</v>
      </c>
      <c r="J87" s="1">
        <v>0</v>
      </c>
      <c r="K87" s="1">
        <v>3</v>
      </c>
      <c r="L87" s="1">
        <v>0</v>
      </c>
      <c r="M87" s="1">
        <v>0</v>
      </c>
      <c r="N87" s="1">
        <v>60037</v>
      </c>
      <c r="O87" s="1" t="s">
        <v>124</v>
      </c>
      <c r="P87" s="1" t="s">
        <v>74</v>
      </c>
    </row>
    <row r="88" spans="1:16">
      <c r="A88" s="2">
        <f t="shared" si="6"/>
        <v>100708</v>
      </c>
      <c r="B88" s="2">
        <f t="shared" si="8"/>
        <v>1007</v>
      </c>
      <c r="C88" s="1">
        <v>8</v>
      </c>
      <c r="D88" s="1" t="s">
        <v>46</v>
      </c>
      <c r="E88" s="1" t="s">
        <v>74</v>
      </c>
      <c r="F88" s="1" t="s">
        <v>50</v>
      </c>
      <c r="G88" s="1" t="s">
        <v>83</v>
      </c>
      <c r="H88" s="1">
        <v>6500</v>
      </c>
      <c r="I88" s="1">
        <v>4</v>
      </c>
      <c r="J88" s="1">
        <v>0</v>
      </c>
      <c r="K88" s="1">
        <v>3</v>
      </c>
      <c r="L88" s="1">
        <v>0</v>
      </c>
      <c r="M88" s="1">
        <v>0</v>
      </c>
      <c r="N88" s="1">
        <v>60038</v>
      </c>
      <c r="O88" s="1" t="s">
        <v>125</v>
      </c>
      <c r="P88" s="1" t="s">
        <v>74</v>
      </c>
    </row>
    <row r="89" spans="1:16">
      <c r="A89" s="2">
        <f t="shared" si="6"/>
        <v>100709</v>
      </c>
      <c r="B89" s="2">
        <f t="shared" si="8"/>
        <v>1007</v>
      </c>
      <c r="C89" s="1">
        <v>9</v>
      </c>
      <c r="D89" s="1" t="s">
        <v>46</v>
      </c>
      <c r="E89" s="1" t="s">
        <v>74</v>
      </c>
      <c r="F89" s="1" t="s">
        <v>50</v>
      </c>
      <c r="G89" s="1" t="s">
        <v>83</v>
      </c>
      <c r="H89" s="1">
        <v>7000</v>
      </c>
      <c r="I89" s="1">
        <v>4</v>
      </c>
      <c r="J89" s="1">
        <v>0</v>
      </c>
      <c r="K89" s="1">
        <v>3</v>
      </c>
      <c r="L89" s="1">
        <v>0</v>
      </c>
      <c r="M89" s="1">
        <v>0</v>
      </c>
      <c r="N89" s="1">
        <v>60039</v>
      </c>
      <c r="O89" s="1" t="s">
        <v>125</v>
      </c>
      <c r="P89" s="1" t="s">
        <v>74</v>
      </c>
    </row>
    <row r="90" spans="1:16">
      <c r="A90" s="2">
        <f t="shared" si="6"/>
        <v>100710</v>
      </c>
      <c r="B90" s="2">
        <f t="shared" si="8"/>
        <v>1007</v>
      </c>
      <c r="C90" s="1">
        <v>10</v>
      </c>
      <c r="D90" s="1" t="s">
        <v>46</v>
      </c>
      <c r="E90" s="1" t="s">
        <v>74</v>
      </c>
      <c r="F90" s="1" t="s">
        <v>50</v>
      </c>
      <c r="G90" s="1" t="s">
        <v>83</v>
      </c>
      <c r="H90" s="1">
        <v>7500</v>
      </c>
      <c r="I90" s="1">
        <v>4</v>
      </c>
      <c r="J90" s="1">
        <v>0</v>
      </c>
      <c r="K90" s="1">
        <v>3</v>
      </c>
      <c r="L90" s="1">
        <v>0</v>
      </c>
      <c r="M90" s="1">
        <v>0</v>
      </c>
      <c r="N90" s="1" t="s">
        <v>126</v>
      </c>
      <c r="O90" s="1" t="s">
        <v>125</v>
      </c>
      <c r="P90" s="1" t="s">
        <v>74</v>
      </c>
    </row>
    <row r="91" spans="1:16">
      <c r="A91" s="2">
        <f t="shared" si="6"/>
        <v>100800</v>
      </c>
      <c r="B91" s="2">
        <f>B80+1</f>
        <v>1008</v>
      </c>
      <c r="C91" s="1">
        <v>0</v>
      </c>
      <c r="D91" s="1" t="s">
        <v>52</v>
      </c>
      <c r="E91" s="1" t="s">
        <v>74</v>
      </c>
      <c r="F91" s="1" t="s">
        <v>56</v>
      </c>
      <c r="G91" s="1" t="s">
        <v>127</v>
      </c>
      <c r="H91" s="1">
        <v>0</v>
      </c>
      <c r="I91" s="1">
        <v>4</v>
      </c>
      <c r="J91" s="1">
        <v>0</v>
      </c>
      <c r="K91" s="1">
        <v>3</v>
      </c>
      <c r="L91" s="1">
        <v>0</v>
      </c>
      <c r="M91" s="1">
        <v>0</v>
      </c>
      <c r="N91" s="1" t="s">
        <v>74</v>
      </c>
      <c r="O91" s="1" t="s">
        <v>74</v>
      </c>
      <c r="P91" s="1" t="s">
        <v>74</v>
      </c>
    </row>
    <row r="92" spans="1:16">
      <c r="A92" s="2">
        <f t="shared" si="6"/>
        <v>100801</v>
      </c>
      <c r="B92" s="2">
        <f t="shared" ref="B92:B101" si="9">B91</f>
        <v>1008</v>
      </c>
      <c r="C92" s="1">
        <v>1</v>
      </c>
      <c r="D92" s="1" t="s">
        <v>52</v>
      </c>
      <c r="E92" s="1" t="s">
        <v>74</v>
      </c>
      <c r="F92" s="1" t="s">
        <v>56</v>
      </c>
      <c r="G92" s="1" t="s">
        <v>127</v>
      </c>
      <c r="H92" s="1">
        <v>0</v>
      </c>
      <c r="I92" s="1">
        <v>4</v>
      </c>
      <c r="J92" s="1">
        <v>0</v>
      </c>
      <c r="K92" s="1">
        <v>3</v>
      </c>
      <c r="L92" s="1">
        <v>0</v>
      </c>
      <c r="M92" s="1">
        <v>0</v>
      </c>
      <c r="N92" s="1" t="s">
        <v>128</v>
      </c>
      <c r="P92" s="1" t="s">
        <v>74</v>
      </c>
    </row>
    <row r="93" spans="1:16">
      <c r="A93" s="2">
        <f t="shared" si="6"/>
        <v>100802</v>
      </c>
      <c r="B93" s="2">
        <f t="shared" si="9"/>
        <v>1008</v>
      </c>
      <c r="C93" s="1">
        <v>2</v>
      </c>
      <c r="D93" s="1" t="s">
        <v>52</v>
      </c>
      <c r="E93" s="1" t="s">
        <v>74</v>
      </c>
      <c r="F93" s="1" t="s">
        <v>56</v>
      </c>
      <c r="G93" s="1" t="s">
        <v>127</v>
      </c>
      <c r="H93" s="1">
        <v>0</v>
      </c>
      <c r="I93" s="1">
        <v>4</v>
      </c>
      <c r="J93" s="1">
        <v>0</v>
      </c>
      <c r="K93" s="1">
        <v>3</v>
      </c>
      <c r="L93" s="1">
        <v>0</v>
      </c>
      <c r="M93" s="1">
        <v>0</v>
      </c>
      <c r="N93" s="1" t="s">
        <v>129</v>
      </c>
      <c r="P93" s="1" t="s">
        <v>74</v>
      </c>
    </row>
    <row r="94" spans="1:16">
      <c r="A94" s="2">
        <f t="shared" si="6"/>
        <v>100803</v>
      </c>
      <c r="B94" s="2">
        <f t="shared" si="9"/>
        <v>1008</v>
      </c>
      <c r="C94" s="1">
        <v>3</v>
      </c>
      <c r="D94" s="1" t="s">
        <v>52</v>
      </c>
      <c r="E94" s="1" t="s">
        <v>74</v>
      </c>
      <c r="F94" s="1" t="s">
        <v>56</v>
      </c>
      <c r="G94" s="1" t="s">
        <v>127</v>
      </c>
      <c r="H94" s="1">
        <v>0</v>
      </c>
      <c r="I94" s="1">
        <v>4</v>
      </c>
      <c r="J94" s="1">
        <v>0</v>
      </c>
      <c r="K94" s="1">
        <v>3</v>
      </c>
      <c r="L94" s="1">
        <v>0</v>
      </c>
      <c r="M94" s="1">
        <v>0</v>
      </c>
      <c r="N94" s="1" t="s">
        <v>130</v>
      </c>
      <c r="P94" s="1" t="s">
        <v>74</v>
      </c>
    </row>
    <row r="95" spans="1:16">
      <c r="A95" s="2">
        <f t="shared" si="6"/>
        <v>100804</v>
      </c>
      <c r="B95" s="2">
        <f t="shared" si="9"/>
        <v>1008</v>
      </c>
      <c r="C95" s="1">
        <v>4</v>
      </c>
      <c r="D95" s="1" t="s">
        <v>52</v>
      </c>
      <c r="E95" s="1" t="s">
        <v>74</v>
      </c>
      <c r="F95" s="1" t="s">
        <v>56</v>
      </c>
      <c r="G95" s="1" t="s">
        <v>127</v>
      </c>
      <c r="H95" s="1">
        <v>0</v>
      </c>
      <c r="I95" s="1">
        <v>4</v>
      </c>
      <c r="J95" s="1">
        <v>0</v>
      </c>
      <c r="K95" s="1">
        <v>3</v>
      </c>
      <c r="L95" s="1">
        <v>0</v>
      </c>
      <c r="M95" s="1">
        <v>0</v>
      </c>
      <c r="N95" s="1" t="s">
        <v>131</v>
      </c>
      <c r="P95" s="1" t="s">
        <v>74</v>
      </c>
    </row>
    <row r="96" spans="1:16">
      <c r="A96" s="2">
        <f t="shared" si="6"/>
        <v>100805</v>
      </c>
      <c r="B96" s="2">
        <f t="shared" si="9"/>
        <v>1008</v>
      </c>
      <c r="C96" s="1">
        <v>5</v>
      </c>
      <c r="D96" s="1" t="s">
        <v>52</v>
      </c>
      <c r="E96" s="1" t="s">
        <v>74</v>
      </c>
      <c r="F96" s="1" t="s">
        <v>56</v>
      </c>
      <c r="G96" s="1" t="s">
        <v>127</v>
      </c>
      <c r="H96" s="1">
        <v>0</v>
      </c>
      <c r="I96" s="1">
        <v>4</v>
      </c>
      <c r="J96" s="1">
        <v>0</v>
      </c>
      <c r="K96" s="1">
        <v>3</v>
      </c>
      <c r="L96" s="1">
        <v>0</v>
      </c>
      <c r="M96" s="1">
        <v>0</v>
      </c>
      <c r="N96" s="1" t="s">
        <v>132</v>
      </c>
      <c r="P96" s="1" t="s">
        <v>74</v>
      </c>
    </row>
    <row r="97" spans="1:16">
      <c r="A97" s="2">
        <f t="shared" si="6"/>
        <v>100806</v>
      </c>
      <c r="B97" s="2">
        <f t="shared" si="9"/>
        <v>1008</v>
      </c>
      <c r="C97" s="1">
        <v>6</v>
      </c>
      <c r="D97" s="1" t="s">
        <v>52</v>
      </c>
      <c r="E97" s="1" t="s">
        <v>74</v>
      </c>
      <c r="F97" s="1" t="s">
        <v>56</v>
      </c>
      <c r="G97" s="1" t="s">
        <v>127</v>
      </c>
      <c r="H97" s="1">
        <v>0</v>
      </c>
      <c r="I97" s="1">
        <v>4</v>
      </c>
      <c r="J97" s="1">
        <v>0</v>
      </c>
      <c r="K97" s="1">
        <v>3</v>
      </c>
      <c r="L97" s="1">
        <v>0</v>
      </c>
      <c r="M97" s="1">
        <v>0</v>
      </c>
      <c r="N97" s="1" t="s">
        <v>133</v>
      </c>
      <c r="P97" s="1" t="s">
        <v>74</v>
      </c>
    </row>
    <row r="98" spans="1:16">
      <c r="A98" s="2">
        <f t="shared" si="6"/>
        <v>100807</v>
      </c>
      <c r="B98" s="2">
        <f t="shared" si="9"/>
        <v>1008</v>
      </c>
      <c r="C98" s="1">
        <v>7</v>
      </c>
      <c r="D98" s="1" t="s">
        <v>52</v>
      </c>
      <c r="E98" s="1" t="s">
        <v>74</v>
      </c>
      <c r="F98" s="1" t="s">
        <v>56</v>
      </c>
      <c r="G98" s="1" t="s">
        <v>127</v>
      </c>
      <c r="H98" s="1">
        <v>0</v>
      </c>
      <c r="I98" s="1">
        <v>4</v>
      </c>
      <c r="J98" s="1">
        <v>0</v>
      </c>
      <c r="K98" s="1">
        <v>3</v>
      </c>
      <c r="L98" s="1">
        <v>0</v>
      </c>
      <c r="M98" s="1">
        <v>0</v>
      </c>
      <c r="N98" s="1" t="s">
        <v>134</v>
      </c>
      <c r="P98" s="1" t="s">
        <v>74</v>
      </c>
    </row>
    <row r="99" spans="1:16">
      <c r="A99" s="2">
        <f t="shared" si="6"/>
        <v>100808</v>
      </c>
      <c r="B99" s="2">
        <f t="shared" si="9"/>
        <v>1008</v>
      </c>
      <c r="C99" s="1">
        <v>8</v>
      </c>
      <c r="D99" s="1" t="s">
        <v>52</v>
      </c>
      <c r="E99" s="1" t="s">
        <v>74</v>
      </c>
      <c r="F99" s="1" t="s">
        <v>56</v>
      </c>
      <c r="G99" s="1" t="s">
        <v>127</v>
      </c>
      <c r="H99" s="1">
        <v>0</v>
      </c>
      <c r="I99" s="1">
        <v>4</v>
      </c>
      <c r="J99" s="1">
        <v>0</v>
      </c>
      <c r="K99" s="1">
        <v>3</v>
      </c>
      <c r="L99" s="1">
        <v>0</v>
      </c>
      <c r="M99" s="1">
        <v>0</v>
      </c>
      <c r="N99" s="1" t="s">
        <v>135</v>
      </c>
      <c r="P99" s="1" t="s">
        <v>74</v>
      </c>
    </row>
    <row r="100" spans="1:16">
      <c r="A100" s="2">
        <f t="shared" si="6"/>
        <v>100809</v>
      </c>
      <c r="B100" s="2">
        <f t="shared" si="9"/>
        <v>1008</v>
      </c>
      <c r="C100" s="1">
        <v>9</v>
      </c>
      <c r="D100" s="1" t="s">
        <v>52</v>
      </c>
      <c r="E100" s="1" t="s">
        <v>74</v>
      </c>
      <c r="F100" s="1" t="s">
        <v>56</v>
      </c>
      <c r="G100" s="1" t="s">
        <v>127</v>
      </c>
      <c r="H100" s="1">
        <v>0</v>
      </c>
      <c r="I100" s="1">
        <v>4</v>
      </c>
      <c r="J100" s="1">
        <v>0</v>
      </c>
      <c r="K100" s="1">
        <v>3</v>
      </c>
      <c r="L100" s="1">
        <v>0</v>
      </c>
      <c r="M100" s="1">
        <v>0</v>
      </c>
      <c r="N100" s="1" t="s">
        <v>136</v>
      </c>
      <c r="P100" s="1" t="s">
        <v>74</v>
      </c>
    </row>
    <row r="101" spans="1:16">
      <c r="A101" s="2">
        <f t="shared" si="6"/>
        <v>100810</v>
      </c>
      <c r="B101" s="2">
        <f t="shared" si="9"/>
        <v>1008</v>
      </c>
      <c r="C101" s="1">
        <v>10</v>
      </c>
      <c r="D101" s="1" t="s">
        <v>52</v>
      </c>
      <c r="E101" s="1" t="s">
        <v>74</v>
      </c>
      <c r="F101" s="1" t="s">
        <v>56</v>
      </c>
      <c r="G101" s="1" t="s">
        <v>127</v>
      </c>
      <c r="H101" s="1">
        <v>0</v>
      </c>
      <c r="I101" s="1">
        <v>4</v>
      </c>
      <c r="J101" s="1">
        <v>0</v>
      </c>
      <c r="K101" s="1">
        <v>3</v>
      </c>
      <c r="L101" s="1">
        <v>0</v>
      </c>
      <c r="M101" s="1">
        <v>0</v>
      </c>
      <c r="N101" s="1" t="s">
        <v>137</v>
      </c>
      <c r="P101" s="1" t="s">
        <v>74</v>
      </c>
    </row>
    <row r="102" spans="1:16">
      <c r="A102" s="2">
        <f t="shared" si="6"/>
        <v>4001001</v>
      </c>
      <c r="B102" s="1">
        <v>40010</v>
      </c>
      <c r="C102" s="1">
        <v>1</v>
      </c>
      <c r="D102" s="1" t="s">
        <v>138</v>
      </c>
      <c r="E102" s="1" t="s">
        <v>139</v>
      </c>
      <c r="G102" s="1" t="s">
        <v>75</v>
      </c>
      <c r="H102" s="1">
        <v>2000</v>
      </c>
      <c r="I102" s="1">
        <v>1</v>
      </c>
      <c r="J102" s="1">
        <v>12</v>
      </c>
      <c r="K102" s="1">
        <v>0</v>
      </c>
      <c r="L102" s="1">
        <v>101</v>
      </c>
      <c r="M102" s="1">
        <v>30</v>
      </c>
      <c r="P102" s="1">
        <v>203005</v>
      </c>
    </row>
    <row r="103" spans="1:16">
      <c r="A103" s="2">
        <f t="shared" si="6"/>
        <v>4001002</v>
      </c>
      <c r="B103" s="1">
        <v>40010</v>
      </c>
      <c r="C103" s="1">
        <v>2</v>
      </c>
      <c r="D103" s="1" t="s">
        <v>140</v>
      </c>
      <c r="E103" s="1" t="s">
        <v>141</v>
      </c>
      <c r="G103" s="1" t="s">
        <v>75</v>
      </c>
      <c r="H103" s="1">
        <v>2000</v>
      </c>
      <c r="I103" s="1">
        <v>1</v>
      </c>
      <c r="J103" s="1">
        <v>12</v>
      </c>
      <c r="K103" s="1">
        <v>0</v>
      </c>
      <c r="L103" s="1">
        <v>101</v>
      </c>
      <c r="M103" s="1">
        <v>30</v>
      </c>
      <c r="P103" s="1">
        <v>203010</v>
      </c>
    </row>
    <row r="104" ht="27" spans="1:16">
      <c r="A104" s="2">
        <f t="shared" si="6"/>
        <v>4001003</v>
      </c>
      <c r="B104" s="1">
        <v>40010</v>
      </c>
      <c r="C104" s="1">
        <v>3</v>
      </c>
      <c r="D104" s="1" t="s">
        <v>142</v>
      </c>
      <c r="E104" s="1" t="s">
        <v>143</v>
      </c>
      <c r="G104" s="1" t="s">
        <v>75</v>
      </c>
      <c r="H104" s="1">
        <v>2000</v>
      </c>
      <c r="I104" s="1">
        <v>1</v>
      </c>
      <c r="J104" s="1">
        <v>12</v>
      </c>
      <c r="K104" s="1">
        <v>0</v>
      </c>
      <c r="L104" s="1">
        <v>101</v>
      </c>
      <c r="M104" s="1">
        <v>30</v>
      </c>
      <c r="P104" s="1" t="s">
        <v>144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技能组skill_pool_config</vt:lpstr>
      <vt:lpstr>技能skill_config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Empathy</cp:lastModifiedBy>
  <dcterms:created xsi:type="dcterms:W3CDTF">2026-04-07T15:32:00Z</dcterms:created>
  <dcterms:modified xsi:type="dcterms:W3CDTF">2026-04-30T10:43:12Z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5B3462A3ADE44A958EB4E737F438E15F_12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